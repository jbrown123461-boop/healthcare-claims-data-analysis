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 Amount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'Analysis'!$D$2:$D$5</f>
            </numRef>
          </cat>
          <val>
            <numRef>
              <f>'Analysis'!$E$2:$E$5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 Status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'Analysis'!$A$5:$A$7</f>
            </numRef>
          </cat>
          <val>
            <numRef>
              <f>'Analysis'!$B$5:$B$7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4" customWidth="1" min="4" max="4"/>
    <col width="17" customWidth="1" min="5" max="5"/>
    <col width="12" customWidth="1" min="6" max="6"/>
    <col width="16" customWidth="1" min="7" max="7"/>
  </cols>
  <sheetData>
    <row r="1">
      <c r="A1" s="1" t="inlineStr">
        <is>
          <t>Claim_ID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Department</t>
        </is>
      </c>
      <c r="E1" s="1" t="inlineStr">
        <is>
          <t>Claim_Type</t>
        </is>
      </c>
      <c r="F1" s="1" t="inlineStr">
        <is>
          <t>Status</t>
        </is>
      </c>
      <c r="G1" s="1" t="inlineStr">
        <is>
          <t>Claim_Amount</t>
        </is>
      </c>
    </row>
    <row r="2">
      <c r="A2" t="inlineStr">
        <is>
          <t>CLM0001</t>
        </is>
      </c>
      <c r="B2" s="2" t="n">
        <v>45780</v>
      </c>
      <c r="C2" t="inlineStr">
        <is>
          <t>West</t>
        </is>
      </c>
      <c r="D2" t="inlineStr">
        <is>
          <t>Operations</t>
        </is>
      </c>
      <c r="E2" t="inlineStr">
        <is>
          <t>Lab</t>
        </is>
      </c>
      <c r="F2" t="inlineStr">
        <is>
          <t>Approved</t>
        </is>
      </c>
      <c r="G2" t="n">
        <v>4483.87</v>
      </c>
    </row>
    <row r="3">
      <c r="A3" t="inlineStr">
        <is>
          <t>CLM0002</t>
        </is>
      </c>
      <c r="B3" s="2" t="n">
        <v>45832</v>
      </c>
      <c r="C3" t="inlineStr">
        <is>
          <t>West</t>
        </is>
      </c>
      <c r="D3" t="inlineStr">
        <is>
          <t>Medical</t>
        </is>
      </c>
      <c r="E3" t="inlineStr">
        <is>
          <t>Prescription</t>
        </is>
      </c>
      <c r="F3" t="inlineStr">
        <is>
          <t>Denied</t>
        </is>
      </c>
      <c r="G3" t="n">
        <v>478.58</v>
      </c>
    </row>
    <row r="4">
      <c r="A4" t="inlineStr">
        <is>
          <t>CLM0003</t>
        </is>
      </c>
      <c r="B4" s="2" t="n">
        <v>45909</v>
      </c>
      <c r="C4" t="inlineStr">
        <is>
          <t>East</t>
        </is>
      </c>
      <c r="D4" t="inlineStr">
        <is>
          <t>Pharmacy</t>
        </is>
      </c>
      <c r="E4" t="inlineStr">
        <is>
          <t>Medical Visit</t>
        </is>
      </c>
      <c r="F4" t="inlineStr">
        <is>
          <t>Approved</t>
        </is>
      </c>
      <c r="G4" t="n">
        <v>2770.2</v>
      </c>
    </row>
    <row r="5">
      <c r="A5" t="inlineStr">
        <is>
          <t>CLM0004</t>
        </is>
      </c>
      <c r="B5" s="2" t="n">
        <v>46013</v>
      </c>
      <c r="C5" t="inlineStr">
        <is>
          <t>East</t>
        </is>
      </c>
      <c r="D5" t="inlineStr">
        <is>
          <t>Compliance</t>
        </is>
      </c>
      <c r="E5" t="inlineStr">
        <is>
          <t>Lab</t>
        </is>
      </c>
      <c r="F5" t="inlineStr">
        <is>
          <t>Denied</t>
        </is>
      </c>
      <c r="G5" t="n">
        <v>4753.45</v>
      </c>
    </row>
    <row r="6">
      <c r="A6" t="inlineStr">
        <is>
          <t>CLM0005</t>
        </is>
      </c>
      <c r="B6" s="2" t="n">
        <v>45715</v>
      </c>
      <c r="C6" t="inlineStr">
        <is>
          <t>West</t>
        </is>
      </c>
      <c r="D6" t="inlineStr">
        <is>
          <t>Pharmacy</t>
        </is>
      </c>
      <c r="E6" t="inlineStr">
        <is>
          <t>Specialty</t>
        </is>
      </c>
      <c r="F6" t="inlineStr">
        <is>
          <t>Denied</t>
        </is>
      </c>
      <c r="G6" t="n">
        <v>592.41</v>
      </c>
    </row>
    <row r="7">
      <c r="A7" t="inlineStr">
        <is>
          <t>CLM0006</t>
        </is>
      </c>
      <c r="B7" s="2" t="n">
        <v>45711</v>
      </c>
      <c r="C7" t="inlineStr">
        <is>
          <t>East</t>
        </is>
      </c>
      <c r="D7" t="inlineStr">
        <is>
          <t>Compliance</t>
        </is>
      </c>
      <c r="E7" t="inlineStr">
        <is>
          <t>Specialty</t>
        </is>
      </c>
      <c r="F7" t="inlineStr">
        <is>
          <t>Denied</t>
        </is>
      </c>
      <c r="G7" t="n">
        <v>4640.96</v>
      </c>
    </row>
    <row r="8">
      <c r="A8" t="inlineStr">
        <is>
          <t>CLM0007</t>
        </is>
      </c>
      <c r="B8" s="2" t="n">
        <v>45845</v>
      </c>
      <c r="C8" t="inlineStr">
        <is>
          <t>West</t>
        </is>
      </c>
      <c r="D8" t="inlineStr">
        <is>
          <t>Medical</t>
        </is>
      </c>
      <c r="E8" t="inlineStr">
        <is>
          <t>Medical Visit</t>
        </is>
      </c>
      <c r="F8" t="inlineStr">
        <is>
          <t>Denied</t>
        </is>
      </c>
      <c r="G8" t="n">
        <v>4537.32</v>
      </c>
    </row>
    <row r="9">
      <c r="A9" t="inlineStr">
        <is>
          <t>CLM0008</t>
        </is>
      </c>
      <c r="B9" s="2" t="n">
        <v>45999</v>
      </c>
      <c r="C9" t="inlineStr">
        <is>
          <t>North</t>
        </is>
      </c>
      <c r="D9" t="inlineStr">
        <is>
          <t>Medical</t>
        </is>
      </c>
      <c r="E9" t="inlineStr">
        <is>
          <t>Medical Visit</t>
        </is>
      </c>
      <c r="F9" t="inlineStr">
        <is>
          <t>Approved</t>
        </is>
      </c>
      <c r="G9" t="n">
        <v>1979.15</v>
      </c>
    </row>
    <row r="10">
      <c r="A10" t="inlineStr">
        <is>
          <t>CLM0009</t>
        </is>
      </c>
      <c r="B10" s="2" t="n">
        <v>45892</v>
      </c>
      <c r="C10" t="inlineStr">
        <is>
          <t>North</t>
        </is>
      </c>
      <c r="D10" t="inlineStr">
        <is>
          <t>Operations</t>
        </is>
      </c>
      <c r="E10" t="inlineStr">
        <is>
          <t>Lab</t>
        </is>
      </c>
      <c r="F10" t="inlineStr">
        <is>
          <t>Approved</t>
        </is>
      </c>
      <c r="G10" t="n">
        <v>1614.44</v>
      </c>
    </row>
    <row r="11">
      <c r="A11" t="inlineStr">
        <is>
          <t>CLM0010</t>
        </is>
      </c>
      <c r="B11" s="2" t="n">
        <v>45767</v>
      </c>
      <c r="C11" t="inlineStr">
        <is>
          <t>East</t>
        </is>
      </c>
      <c r="D11" t="inlineStr">
        <is>
          <t>Medical</t>
        </is>
      </c>
      <c r="E11" t="inlineStr">
        <is>
          <t>Lab</t>
        </is>
      </c>
      <c r="F11" t="inlineStr">
        <is>
          <t>Approved</t>
        </is>
      </c>
      <c r="G11" t="n">
        <v>1263.39</v>
      </c>
    </row>
    <row r="12">
      <c r="A12" t="inlineStr">
        <is>
          <t>CLM0011</t>
        </is>
      </c>
      <c r="B12" s="2" t="n">
        <v>45868</v>
      </c>
      <c r="C12" t="inlineStr">
        <is>
          <t>West</t>
        </is>
      </c>
      <c r="D12" t="inlineStr">
        <is>
          <t>Compliance</t>
        </is>
      </c>
      <c r="E12" t="inlineStr">
        <is>
          <t>Prescription</t>
        </is>
      </c>
      <c r="F12" t="inlineStr">
        <is>
          <t>Pending</t>
        </is>
      </c>
      <c r="G12" t="n">
        <v>4316.01</v>
      </c>
    </row>
    <row r="13">
      <c r="A13" t="inlineStr">
        <is>
          <t>CLM0012</t>
        </is>
      </c>
      <c r="B13" s="2" t="n">
        <v>45747</v>
      </c>
      <c r="C13" t="inlineStr">
        <is>
          <t>South</t>
        </is>
      </c>
      <c r="D13" t="inlineStr">
        <is>
          <t>Operations</t>
        </is>
      </c>
      <c r="E13" t="inlineStr">
        <is>
          <t>Prescription</t>
        </is>
      </c>
      <c r="F13" t="inlineStr">
        <is>
          <t>Denied</t>
        </is>
      </c>
      <c r="G13" t="n">
        <v>2551.37</v>
      </c>
    </row>
    <row r="14">
      <c r="A14" t="inlineStr">
        <is>
          <t>CLM0013</t>
        </is>
      </c>
      <c r="B14" s="2" t="n">
        <v>45747</v>
      </c>
      <c r="C14" t="inlineStr">
        <is>
          <t>East</t>
        </is>
      </c>
      <c r="D14" t="inlineStr">
        <is>
          <t>Medical</t>
        </is>
      </c>
      <c r="E14" t="inlineStr">
        <is>
          <t>Lab</t>
        </is>
      </c>
      <c r="F14" t="inlineStr">
        <is>
          <t>Approved</t>
        </is>
      </c>
      <c r="G14" t="n">
        <v>4016.53</v>
      </c>
    </row>
    <row r="15">
      <c r="A15" t="inlineStr">
        <is>
          <t>CLM0014</t>
        </is>
      </c>
      <c r="B15" s="2" t="n">
        <v>45856</v>
      </c>
      <c r="C15" t="inlineStr">
        <is>
          <t>North</t>
        </is>
      </c>
      <c r="D15" t="inlineStr">
        <is>
          <t>Pharmacy</t>
        </is>
      </c>
      <c r="E15" t="inlineStr">
        <is>
          <t>Medical Visit</t>
        </is>
      </c>
      <c r="F15" t="inlineStr">
        <is>
          <t>Pending</t>
        </is>
      </c>
      <c r="G15" t="n">
        <v>1540.85</v>
      </c>
    </row>
    <row r="16">
      <c r="A16" t="inlineStr">
        <is>
          <t>CLM0015</t>
        </is>
      </c>
      <c r="B16" s="2" t="n">
        <v>45960</v>
      </c>
      <c r="C16" t="inlineStr">
        <is>
          <t>South</t>
        </is>
      </c>
      <c r="D16" t="inlineStr">
        <is>
          <t>Medical</t>
        </is>
      </c>
      <c r="E16" t="inlineStr">
        <is>
          <t>Lab</t>
        </is>
      </c>
      <c r="F16" t="inlineStr">
        <is>
          <t>Approved</t>
        </is>
      </c>
      <c r="G16" t="n">
        <v>1282.38</v>
      </c>
    </row>
    <row r="17">
      <c r="A17" t="inlineStr">
        <is>
          <t>CLM0016</t>
        </is>
      </c>
      <c r="B17" s="2" t="n">
        <v>45745</v>
      </c>
      <c r="C17" t="inlineStr">
        <is>
          <t>West</t>
        </is>
      </c>
      <c r="D17" t="inlineStr">
        <is>
          <t>Medical</t>
        </is>
      </c>
      <c r="E17" t="inlineStr">
        <is>
          <t>Prescription</t>
        </is>
      </c>
      <c r="F17" t="inlineStr">
        <is>
          <t>Approved</t>
        </is>
      </c>
      <c r="G17" t="n">
        <v>4042.97</v>
      </c>
    </row>
    <row r="18">
      <c r="A18" t="inlineStr">
        <is>
          <t>CLM0017</t>
        </is>
      </c>
      <c r="B18" s="2" t="n">
        <v>45812</v>
      </c>
      <c r="C18" t="inlineStr">
        <is>
          <t>East</t>
        </is>
      </c>
      <c r="D18" t="inlineStr">
        <is>
          <t>Pharmacy</t>
        </is>
      </c>
      <c r="E18" t="inlineStr">
        <is>
          <t>Prescription</t>
        </is>
      </c>
      <c r="F18" t="inlineStr">
        <is>
          <t>Approved</t>
        </is>
      </c>
      <c r="G18" t="n">
        <v>4846.08</v>
      </c>
    </row>
    <row r="19">
      <c r="A19" t="inlineStr">
        <is>
          <t>CLM0018</t>
        </is>
      </c>
      <c r="B19" s="2" t="n">
        <v>45713</v>
      </c>
      <c r="C19" t="inlineStr">
        <is>
          <t>North</t>
        </is>
      </c>
      <c r="D19" t="inlineStr">
        <is>
          <t>Medical</t>
        </is>
      </c>
      <c r="E19" t="inlineStr">
        <is>
          <t>Lab</t>
        </is>
      </c>
      <c r="F19" t="inlineStr">
        <is>
          <t>Denied</t>
        </is>
      </c>
      <c r="G19" t="n">
        <v>1593.2</v>
      </c>
    </row>
    <row r="20">
      <c r="A20" t="inlineStr">
        <is>
          <t>CLM0019</t>
        </is>
      </c>
      <c r="B20" s="2" t="n">
        <v>45662</v>
      </c>
      <c r="C20" t="inlineStr">
        <is>
          <t>South</t>
        </is>
      </c>
      <c r="D20" t="inlineStr">
        <is>
          <t>Compliance</t>
        </is>
      </c>
      <c r="E20" t="inlineStr">
        <is>
          <t>Specialty</t>
        </is>
      </c>
      <c r="F20" t="inlineStr">
        <is>
          <t>Pending</t>
        </is>
      </c>
      <c r="G20" t="n">
        <v>253.61</v>
      </c>
    </row>
    <row r="21">
      <c r="A21" t="inlineStr">
        <is>
          <t>CLM0020</t>
        </is>
      </c>
      <c r="B21" s="2" t="n">
        <v>45832</v>
      </c>
      <c r="C21" t="inlineStr">
        <is>
          <t>East</t>
        </is>
      </c>
      <c r="D21" t="inlineStr">
        <is>
          <t>Medical</t>
        </is>
      </c>
      <c r="E21" t="inlineStr">
        <is>
          <t>Lab</t>
        </is>
      </c>
      <c r="F21" t="inlineStr">
        <is>
          <t>Approved</t>
        </is>
      </c>
      <c r="G21" t="n">
        <v>4632.93</v>
      </c>
    </row>
    <row r="22">
      <c r="A22" t="inlineStr">
        <is>
          <t>CLM0021</t>
        </is>
      </c>
      <c r="B22" s="2" t="n">
        <v>45967</v>
      </c>
      <c r="C22" t="inlineStr">
        <is>
          <t>South</t>
        </is>
      </c>
      <c r="D22" t="inlineStr">
        <is>
          <t>Pharmacy</t>
        </is>
      </c>
      <c r="E22" t="inlineStr">
        <is>
          <t>Medical Visit</t>
        </is>
      </c>
      <c r="F22" t="inlineStr">
        <is>
          <t>Pending</t>
        </is>
      </c>
      <c r="G22" t="n">
        <v>920.79</v>
      </c>
    </row>
    <row r="23">
      <c r="A23" t="inlineStr">
        <is>
          <t>CLM0022</t>
        </is>
      </c>
      <c r="B23" s="2" t="n">
        <v>45976</v>
      </c>
      <c r="C23" t="inlineStr">
        <is>
          <t>East</t>
        </is>
      </c>
      <c r="D23" t="inlineStr">
        <is>
          <t>Pharmacy</t>
        </is>
      </c>
      <c r="E23" t="inlineStr">
        <is>
          <t>Specialty</t>
        </is>
      </c>
      <c r="F23" t="inlineStr">
        <is>
          <t>Denied</t>
        </is>
      </c>
      <c r="G23" t="n">
        <v>2979.41</v>
      </c>
    </row>
    <row r="24">
      <c r="A24" t="inlineStr">
        <is>
          <t>CLM0023</t>
        </is>
      </c>
      <c r="B24" s="2" t="n">
        <v>45906</v>
      </c>
      <c r="C24" t="inlineStr">
        <is>
          <t>South</t>
        </is>
      </c>
      <c r="D24" t="inlineStr">
        <is>
          <t>Compliance</t>
        </is>
      </c>
      <c r="E24" t="inlineStr">
        <is>
          <t>Lab</t>
        </is>
      </c>
      <c r="F24" t="inlineStr">
        <is>
          <t>Denied</t>
        </is>
      </c>
      <c r="G24" t="n">
        <v>1130.47</v>
      </c>
    </row>
    <row r="25">
      <c r="A25" t="inlineStr">
        <is>
          <t>CLM0024</t>
        </is>
      </c>
      <c r="B25" s="2" t="n">
        <v>45774</v>
      </c>
      <c r="C25" t="inlineStr">
        <is>
          <t>North</t>
        </is>
      </c>
      <c r="D25" t="inlineStr">
        <is>
          <t>Medical</t>
        </is>
      </c>
      <c r="E25" t="inlineStr">
        <is>
          <t>Medical Visit</t>
        </is>
      </c>
      <c r="F25" t="inlineStr">
        <is>
          <t>Approved</t>
        </is>
      </c>
      <c r="G25" t="n">
        <v>672</v>
      </c>
    </row>
    <row r="26">
      <c r="A26" t="inlineStr">
        <is>
          <t>CLM0025</t>
        </is>
      </c>
      <c r="B26" s="2" t="n">
        <v>45771</v>
      </c>
      <c r="C26" t="inlineStr">
        <is>
          <t>West</t>
        </is>
      </c>
      <c r="D26" t="inlineStr">
        <is>
          <t>Medical</t>
        </is>
      </c>
      <c r="E26" t="inlineStr">
        <is>
          <t>Specialty</t>
        </is>
      </c>
      <c r="F26" t="inlineStr">
        <is>
          <t>Approved</t>
        </is>
      </c>
      <c r="G26" t="n">
        <v>2336.94</v>
      </c>
    </row>
    <row r="27">
      <c r="A27" t="inlineStr">
        <is>
          <t>CLM0026</t>
        </is>
      </c>
      <c r="B27" s="2" t="n">
        <v>45859</v>
      </c>
      <c r="C27" t="inlineStr">
        <is>
          <t>West</t>
        </is>
      </c>
      <c r="D27" t="inlineStr">
        <is>
          <t>Medical</t>
        </is>
      </c>
      <c r="E27" t="inlineStr">
        <is>
          <t>Specialty</t>
        </is>
      </c>
      <c r="F27" t="inlineStr">
        <is>
          <t>Denied</t>
        </is>
      </c>
      <c r="G27" t="n">
        <v>3297.78</v>
      </c>
    </row>
    <row r="28">
      <c r="A28" t="inlineStr">
        <is>
          <t>CLM0027</t>
        </is>
      </c>
      <c r="B28" s="2" t="n">
        <v>45949</v>
      </c>
      <c r="C28" t="inlineStr">
        <is>
          <t>East</t>
        </is>
      </c>
      <c r="D28" t="inlineStr">
        <is>
          <t>Pharmacy</t>
        </is>
      </c>
      <c r="E28" t="inlineStr">
        <is>
          <t>Prescription</t>
        </is>
      </c>
      <c r="F28" t="inlineStr">
        <is>
          <t>Approved</t>
        </is>
      </c>
      <c r="G28" t="n">
        <v>3082.87</v>
      </c>
    </row>
    <row r="29">
      <c r="A29" t="inlineStr">
        <is>
          <t>CLM0028</t>
        </is>
      </c>
      <c r="B29" s="2" t="n">
        <v>45879</v>
      </c>
      <c r="C29" t="inlineStr">
        <is>
          <t>North</t>
        </is>
      </c>
      <c r="D29" t="inlineStr">
        <is>
          <t>Medical</t>
        </is>
      </c>
      <c r="E29" t="inlineStr">
        <is>
          <t>Medical Visit</t>
        </is>
      </c>
      <c r="F29" t="inlineStr">
        <is>
          <t>Denied</t>
        </is>
      </c>
      <c r="G29" t="n">
        <v>4148.91</v>
      </c>
    </row>
    <row r="30">
      <c r="A30" t="inlineStr">
        <is>
          <t>CLM0029</t>
        </is>
      </c>
      <c r="B30" s="2" t="n">
        <v>45917</v>
      </c>
      <c r="C30" t="inlineStr">
        <is>
          <t>East</t>
        </is>
      </c>
      <c r="D30" t="inlineStr">
        <is>
          <t>Compliance</t>
        </is>
      </c>
      <c r="E30" t="inlineStr">
        <is>
          <t>Lab</t>
        </is>
      </c>
      <c r="F30" t="inlineStr">
        <is>
          <t>Approved</t>
        </is>
      </c>
      <c r="G30" t="n">
        <v>1803.79</v>
      </c>
    </row>
    <row r="31">
      <c r="A31" t="inlineStr">
        <is>
          <t>CLM0030</t>
        </is>
      </c>
      <c r="B31" s="2" t="n">
        <v>45745</v>
      </c>
      <c r="C31" t="inlineStr">
        <is>
          <t>North</t>
        </is>
      </c>
      <c r="D31" t="inlineStr">
        <is>
          <t>Compliance</t>
        </is>
      </c>
      <c r="E31" t="inlineStr">
        <is>
          <t>Medical Visit</t>
        </is>
      </c>
      <c r="F31" t="inlineStr">
        <is>
          <t>Pending</t>
        </is>
      </c>
      <c r="G31" t="n">
        <v>861.4400000000001</v>
      </c>
    </row>
    <row r="32">
      <c r="A32" t="inlineStr">
        <is>
          <t>CLM0031</t>
        </is>
      </c>
      <c r="B32" s="2" t="n">
        <v>45860</v>
      </c>
      <c r="C32" t="inlineStr">
        <is>
          <t>North</t>
        </is>
      </c>
      <c r="D32" t="inlineStr">
        <is>
          <t>Pharmacy</t>
        </is>
      </c>
      <c r="E32" t="inlineStr">
        <is>
          <t>Lab</t>
        </is>
      </c>
      <c r="F32" t="inlineStr">
        <is>
          <t>Pending</t>
        </is>
      </c>
      <c r="G32" t="n">
        <v>4155.5</v>
      </c>
    </row>
    <row r="33">
      <c r="A33" t="inlineStr">
        <is>
          <t>CLM0032</t>
        </is>
      </c>
      <c r="B33" s="2" t="n">
        <v>45794</v>
      </c>
      <c r="C33" t="inlineStr">
        <is>
          <t>North</t>
        </is>
      </c>
      <c r="D33" t="inlineStr">
        <is>
          <t>Operations</t>
        </is>
      </c>
      <c r="E33" t="inlineStr">
        <is>
          <t>Lab</t>
        </is>
      </c>
      <c r="F33" t="inlineStr">
        <is>
          <t>Approved</t>
        </is>
      </c>
      <c r="G33" t="n">
        <v>1821.7</v>
      </c>
    </row>
    <row r="34">
      <c r="A34" t="inlineStr">
        <is>
          <t>CLM0033</t>
        </is>
      </c>
      <c r="B34" s="2" t="n">
        <v>45914</v>
      </c>
      <c r="C34" t="inlineStr">
        <is>
          <t>East</t>
        </is>
      </c>
      <c r="D34" t="inlineStr">
        <is>
          <t>Pharmacy</t>
        </is>
      </c>
      <c r="E34" t="inlineStr">
        <is>
          <t>Medical Visit</t>
        </is>
      </c>
      <c r="F34" t="inlineStr">
        <is>
          <t>Pending</t>
        </is>
      </c>
      <c r="G34" t="n">
        <v>124.42</v>
      </c>
    </row>
    <row r="35">
      <c r="A35" t="inlineStr">
        <is>
          <t>CLM0034</t>
        </is>
      </c>
      <c r="B35" s="2" t="n">
        <v>45931</v>
      </c>
      <c r="C35" t="inlineStr">
        <is>
          <t>West</t>
        </is>
      </c>
      <c r="D35" t="inlineStr">
        <is>
          <t>Pharmacy</t>
        </is>
      </c>
      <c r="E35" t="inlineStr">
        <is>
          <t>Medical Visit</t>
        </is>
      </c>
      <c r="F35" t="inlineStr">
        <is>
          <t>Pending</t>
        </is>
      </c>
      <c r="G35" t="n">
        <v>3876.42</v>
      </c>
    </row>
    <row r="36">
      <c r="A36" t="inlineStr">
        <is>
          <t>CLM0035</t>
        </is>
      </c>
      <c r="B36" s="2" t="n">
        <v>45954</v>
      </c>
      <c r="C36" t="inlineStr">
        <is>
          <t>West</t>
        </is>
      </c>
      <c r="D36" t="inlineStr">
        <is>
          <t>Pharmacy</t>
        </is>
      </c>
      <c r="E36" t="inlineStr">
        <is>
          <t>Prescription</t>
        </is>
      </c>
      <c r="F36" t="inlineStr">
        <is>
          <t>Approved</t>
        </is>
      </c>
      <c r="G36" t="n">
        <v>2529.26</v>
      </c>
    </row>
    <row r="37">
      <c r="A37" t="inlineStr">
        <is>
          <t>CLM0036</t>
        </is>
      </c>
      <c r="B37" s="2" t="n">
        <v>45740</v>
      </c>
      <c r="C37" t="inlineStr">
        <is>
          <t>East</t>
        </is>
      </c>
      <c r="D37" t="inlineStr">
        <is>
          <t>Medical</t>
        </is>
      </c>
      <c r="E37" t="inlineStr">
        <is>
          <t>Specialty</t>
        </is>
      </c>
      <c r="F37" t="inlineStr">
        <is>
          <t>Approved</t>
        </is>
      </c>
      <c r="G37" t="n">
        <v>785.26</v>
      </c>
    </row>
    <row r="38">
      <c r="A38" t="inlineStr">
        <is>
          <t>CLM0037</t>
        </is>
      </c>
      <c r="B38" s="2" t="n">
        <v>45724</v>
      </c>
      <c r="C38" t="inlineStr">
        <is>
          <t>South</t>
        </is>
      </c>
      <c r="D38" t="inlineStr">
        <is>
          <t>Operations</t>
        </is>
      </c>
      <c r="E38" t="inlineStr">
        <is>
          <t>Lab</t>
        </is>
      </c>
      <c r="F38" t="inlineStr">
        <is>
          <t>Denied</t>
        </is>
      </c>
      <c r="G38" t="n">
        <v>3259.34</v>
      </c>
    </row>
    <row r="39">
      <c r="A39" t="inlineStr">
        <is>
          <t>CLM0038</t>
        </is>
      </c>
      <c r="B39" s="2" t="n">
        <v>45732</v>
      </c>
      <c r="C39" t="inlineStr">
        <is>
          <t>North</t>
        </is>
      </c>
      <c r="D39" t="inlineStr">
        <is>
          <t>Medical</t>
        </is>
      </c>
      <c r="E39" t="inlineStr">
        <is>
          <t>Lab</t>
        </is>
      </c>
      <c r="F39" t="inlineStr">
        <is>
          <t>Pending</t>
        </is>
      </c>
      <c r="G39" t="n">
        <v>3831.08</v>
      </c>
    </row>
    <row r="40">
      <c r="A40" t="inlineStr">
        <is>
          <t>CLM0039</t>
        </is>
      </c>
      <c r="B40" s="2" t="n">
        <v>46008</v>
      </c>
      <c r="C40" t="inlineStr">
        <is>
          <t>West</t>
        </is>
      </c>
      <c r="D40" t="inlineStr">
        <is>
          <t>Medical</t>
        </is>
      </c>
      <c r="E40" t="inlineStr">
        <is>
          <t>Medical Visit</t>
        </is>
      </c>
      <c r="F40" t="inlineStr">
        <is>
          <t>Denied</t>
        </is>
      </c>
      <c r="G40" t="n">
        <v>1993.25</v>
      </c>
    </row>
    <row r="41">
      <c r="A41" t="inlineStr">
        <is>
          <t>CLM0040</t>
        </is>
      </c>
      <c r="B41" s="2" t="n">
        <v>45762</v>
      </c>
      <c r="C41" t="inlineStr">
        <is>
          <t>East</t>
        </is>
      </c>
      <c r="D41" t="inlineStr">
        <is>
          <t>Pharmacy</t>
        </is>
      </c>
      <c r="E41" t="inlineStr">
        <is>
          <t>Lab</t>
        </is>
      </c>
      <c r="F41" t="inlineStr">
        <is>
          <t>Approved</t>
        </is>
      </c>
      <c r="G41" t="n">
        <v>143.76</v>
      </c>
    </row>
    <row r="42">
      <c r="A42" t="inlineStr">
        <is>
          <t>CLM0041</t>
        </is>
      </c>
      <c r="B42" s="2" t="n">
        <v>45878</v>
      </c>
      <c r="C42" t="inlineStr">
        <is>
          <t>West</t>
        </is>
      </c>
      <c r="D42" t="inlineStr">
        <is>
          <t>Medical</t>
        </is>
      </c>
      <c r="E42" t="inlineStr">
        <is>
          <t>Prescription</t>
        </is>
      </c>
      <c r="F42" t="inlineStr">
        <is>
          <t>Denied</t>
        </is>
      </c>
      <c r="G42" t="n">
        <v>121.74</v>
      </c>
    </row>
    <row r="43">
      <c r="A43" t="inlineStr">
        <is>
          <t>CLM0042</t>
        </is>
      </c>
      <c r="B43" s="2" t="n">
        <v>45987</v>
      </c>
      <c r="C43" t="inlineStr">
        <is>
          <t>East</t>
        </is>
      </c>
      <c r="D43" t="inlineStr">
        <is>
          <t>Compliance</t>
        </is>
      </c>
      <c r="E43" t="inlineStr">
        <is>
          <t>Lab</t>
        </is>
      </c>
      <c r="F43" t="inlineStr">
        <is>
          <t>Pending</t>
        </is>
      </c>
      <c r="G43" t="n">
        <v>3528.48</v>
      </c>
    </row>
    <row r="44">
      <c r="A44" t="inlineStr">
        <is>
          <t>CLM0043</t>
        </is>
      </c>
      <c r="B44" s="2" t="n">
        <v>46005</v>
      </c>
      <c r="C44" t="inlineStr">
        <is>
          <t>North</t>
        </is>
      </c>
      <c r="D44" t="inlineStr">
        <is>
          <t>Compliance</t>
        </is>
      </c>
      <c r="E44" t="inlineStr">
        <is>
          <t>Medical Visit</t>
        </is>
      </c>
      <c r="F44" t="inlineStr">
        <is>
          <t>Pending</t>
        </is>
      </c>
      <c r="G44" t="n">
        <v>1783.11</v>
      </c>
    </row>
    <row r="45">
      <c r="A45" t="inlineStr">
        <is>
          <t>CLM0044</t>
        </is>
      </c>
      <c r="B45" s="2" t="n">
        <v>45798</v>
      </c>
      <c r="C45" t="inlineStr">
        <is>
          <t>North</t>
        </is>
      </c>
      <c r="D45" t="inlineStr">
        <is>
          <t>Compliance</t>
        </is>
      </c>
      <c r="E45" t="inlineStr">
        <is>
          <t>Prescription</t>
        </is>
      </c>
      <c r="F45" t="inlineStr">
        <is>
          <t>Pending</t>
        </is>
      </c>
      <c r="G45" t="n">
        <v>4572.09</v>
      </c>
    </row>
    <row r="46">
      <c r="A46" t="inlineStr">
        <is>
          <t>CLM0045</t>
        </is>
      </c>
      <c r="B46" s="2" t="n">
        <v>45670</v>
      </c>
      <c r="C46" t="inlineStr">
        <is>
          <t>South</t>
        </is>
      </c>
      <c r="D46" t="inlineStr">
        <is>
          <t>Operations</t>
        </is>
      </c>
      <c r="E46" t="inlineStr">
        <is>
          <t>Specialty</t>
        </is>
      </c>
      <c r="F46" t="inlineStr">
        <is>
          <t>Denied</t>
        </is>
      </c>
      <c r="G46" t="n">
        <v>3984.16</v>
      </c>
    </row>
    <row r="47">
      <c r="A47" t="inlineStr">
        <is>
          <t>CLM0046</t>
        </is>
      </c>
      <c r="B47" s="2" t="n">
        <v>46023</v>
      </c>
      <c r="C47" t="inlineStr">
        <is>
          <t>North</t>
        </is>
      </c>
      <c r="D47" t="inlineStr">
        <is>
          <t>Compliance</t>
        </is>
      </c>
      <c r="E47" t="inlineStr">
        <is>
          <t>Medical Visit</t>
        </is>
      </c>
      <c r="F47" t="inlineStr">
        <is>
          <t>Approved</t>
        </is>
      </c>
      <c r="G47" t="n">
        <v>2718.29</v>
      </c>
    </row>
    <row r="48">
      <c r="A48" t="inlineStr">
        <is>
          <t>CLM0047</t>
        </is>
      </c>
      <c r="B48" s="2" t="n">
        <v>45948</v>
      </c>
      <c r="C48" t="inlineStr">
        <is>
          <t>West</t>
        </is>
      </c>
      <c r="D48" t="inlineStr">
        <is>
          <t>Pharmacy</t>
        </is>
      </c>
      <c r="E48" t="inlineStr">
        <is>
          <t>Specialty</t>
        </is>
      </c>
      <c r="F48" t="inlineStr">
        <is>
          <t>Pending</t>
        </is>
      </c>
      <c r="G48" t="n">
        <v>1655.37</v>
      </c>
    </row>
    <row r="49">
      <c r="A49" t="inlineStr">
        <is>
          <t>CLM0048</t>
        </is>
      </c>
      <c r="B49" s="2" t="n">
        <v>45952</v>
      </c>
      <c r="C49" t="inlineStr">
        <is>
          <t>North</t>
        </is>
      </c>
      <c r="D49" t="inlineStr">
        <is>
          <t>Operations</t>
        </is>
      </c>
      <c r="E49" t="inlineStr">
        <is>
          <t>Medical Visit</t>
        </is>
      </c>
      <c r="F49" t="inlineStr">
        <is>
          <t>Approved</t>
        </is>
      </c>
      <c r="G49" t="n">
        <v>1362.69</v>
      </c>
    </row>
    <row r="50">
      <c r="A50" t="inlineStr">
        <is>
          <t>CLM0049</t>
        </is>
      </c>
      <c r="B50" s="2" t="n">
        <v>45884</v>
      </c>
      <c r="C50" t="inlineStr">
        <is>
          <t>South</t>
        </is>
      </c>
      <c r="D50" t="inlineStr">
        <is>
          <t>Compliance</t>
        </is>
      </c>
      <c r="E50" t="inlineStr">
        <is>
          <t>Medical Visit</t>
        </is>
      </c>
      <c r="F50" t="inlineStr">
        <is>
          <t>Denied</t>
        </is>
      </c>
      <c r="G50" t="n">
        <v>1686.28</v>
      </c>
    </row>
    <row r="51">
      <c r="A51" t="inlineStr">
        <is>
          <t>CLM0050</t>
        </is>
      </c>
      <c r="B51" s="2" t="n">
        <v>45821</v>
      </c>
      <c r="C51" t="inlineStr">
        <is>
          <t>North</t>
        </is>
      </c>
      <c r="D51" t="inlineStr">
        <is>
          <t>Pharmacy</t>
        </is>
      </c>
      <c r="E51" t="inlineStr">
        <is>
          <t>Specialty</t>
        </is>
      </c>
      <c r="F51" t="inlineStr">
        <is>
          <t>Pending</t>
        </is>
      </c>
      <c r="G51" t="n">
        <v>2829.52</v>
      </c>
    </row>
    <row r="52">
      <c r="A52" t="inlineStr">
        <is>
          <t>CLM0051</t>
        </is>
      </c>
      <c r="B52" s="2" t="n">
        <v>45796</v>
      </c>
      <c r="C52" t="inlineStr">
        <is>
          <t>West</t>
        </is>
      </c>
      <c r="D52" t="inlineStr">
        <is>
          <t>Compliance</t>
        </is>
      </c>
      <c r="E52" t="inlineStr">
        <is>
          <t>Medical Visit</t>
        </is>
      </c>
      <c r="F52" t="inlineStr">
        <is>
          <t>Pending</t>
        </is>
      </c>
      <c r="G52" t="n">
        <v>100.1</v>
      </c>
    </row>
    <row r="53">
      <c r="A53" t="inlineStr">
        <is>
          <t>CLM0052</t>
        </is>
      </c>
      <c r="B53" s="2" t="n">
        <v>45887</v>
      </c>
      <c r="C53" t="inlineStr">
        <is>
          <t>South</t>
        </is>
      </c>
      <c r="D53" t="inlineStr">
        <is>
          <t>Medical</t>
        </is>
      </c>
      <c r="E53" t="inlineStr">
        <is>
          <t>Prescription</t>
        </is>
      </c>
      <c r="F53" t="inlineStr">
        <is>
          <t>Denied</t>
        </is>
      </c>
      <c r="G53" t="n">
        <v>3749.39</v>
      </c>
    </row>
    <row r="54">
      <c r="A54" t="inlineStr">
        <is>
          <t>CLM0053</t>
        </is>
      </c>
      <c r="B54" s="2" t="n">
        <v>45940</v>
      </c>
      <c r="C54" t="inlineStr">
        <is>
          <t>East</t>
        </is>
      </c>
      <c r="D54" t="inlineStr">
        <is>
          <t>Compliance</t>
        </is>
      </c>
      <c r="E54" t="inlineStr">
        <is>
          <t>Lab</t>
        </is>
      </c>
      <c r="F54" t="inlineStr">
        <is>
          <t>Approved</t>
        </is>
      </c>
      <c r="G54" t="n">
        <v>4075.89</v>
      </c>
    </row>
    <row r="55">
      <c r="A55" t="inlineStr">
        <is>
          <t>CLM0054</t>
        </is>
      </c>
      <c r="B55" s="2" t="n">
        <v>45685</v>
      </c>
      <c r="C55" t="inlineStr">
        <is>
          <t>South</t>
        </is>
      </c>
      <c r="D55" t="inlineStr">
        <is>
          <t>Pharmacy</t>
        </is>
      </c>
      <c r="E55" t="inlineStr">
        <is>
          <t>Lab</t>
        </is>
      </c>
      <c r="F55" t="inlineStr">
        <is>
          <t>Approved</t>
        </is>
      </c>
      <c r="G55" t="n">
        <v>2946.71</v>
      </c>
    </row>
    <row r="56">
      <c r="A56" t="inlineStr">
        <is>
          <t>CLM0055</t>
        </is>
      </c>
      <c r="B56" s="2" t="n">
        <v>45685</v>
      </c>
      <c r="C56" t="inlineStr">
        <is>
          <t>North</t>
        </is>
      </c>
      <c r="D56" t="inlineStr">
        <is>
          <t>Operations</t>
        </is>
      </c>
      <c r="E56" t="inlineStr">
        <is>
          <t>Specialty</t>
        </is>
      </c>
      <c r="F56" t="inlineStr">
        <is>
          <t>Approved</t>
        </is>
      </c>
      <c r="G56" t="n">
        <v>2339.85</v>
      </c>
    </row>
    <row r="57">
      <c r="A57" t="inlineStr">
        <is>
          <t>CLM0056</t>
        </is>
      </c>
      <c r="B57" s="2" t="n">
        <v>45867</v>
      </c>
      <c r="C57" t="inlineStr">
        <is>
          <t>East</t>
        </is>
      </c>
      <c r="D57" t="inlineStr">
        <is>
          <t>Operations</t>
        </is>
      </c>
      <c r="E57" t="inlineStr">
        <is>
          <t>Specialty</t>
        </is>
      </c>
      <c r="F57" t="inlineStr">
        <is>
          <t>Approved</t>
        </is>
      </c>
      <c r="G57" t="n">
        <v>4041.08</v>
      </c>
    </row>
    <row r="58">
      <c r="A58" t="inlineStr">
        <is>
          <t>CLM0057</t>
        </is>
      </c>
      <c r="B58" s="2" t="n">
        <v>45968</v>
      </c>
      <c r="C58" t="inlineStr">
        <is>
          <t>South</t>
        </is>
      </c>
      <c r="D58" t="inlineStr">
        <is>
          <t>Operations</t>
        </is>
      </c>
      <c r="E58" t="inlineStr">
        <is>
          <t>Medical Visit</t>
        </is>
      </c>
      <c r="F58" t="inlineStr">
        <is>
          <t>Approved</t>
        </is>
      </c>
      <c r="G58" t="n">
        <v>1305.87</v>
      </c>
    </row>
    <row r="59">
      <c r="A59" t="inlineStr">
        <is>
          <t>CLM0058</t>
        </is>
      </c>
      <c r="B59" s="2" t="n">
        <v>45714</v>
      </c>
      <c r="C59" t="inlineStr">
        <is>
          <t>East</t>
        </is>
      </c>
      <c r="D59" t="inlineStr">
        <is>
          <t>Operations</t>
        </is>
      </c>
      <c r="E59" t="inlineStr">
        <is>
          <t>Medical Visit</t>
        </is>
      </c>
      <c r="F59" t="inlineStr">
        <is>
          <t>Approved</t>
        </is>
      </c>
      <c r="G59" t="n">
        <v>3621.13</v>
      </c>
    </row>
    <row r="60">
      <c r="A60" t="inlineStr">
        <is>
          <t>CLM0059</t>
        </is>
      </c>
      <c r="B60" s="2" t="n">
        <v>45703</v>
      </c>
      <c r="C60" t="inlineStr">
        <is>
          <t>West</t>
        </is>
      </c>
      <c r="D60" t="inlineStr">
        <is>
          <t>Operations</t>
        </is>
      </c>
      <c r="E60" t="inlineStr">
        <is>
          <t>Medical Visit</t>
        </is>
      </c>
      <c r="F60" t="inlineStr">
        <is>
          <t>Approved</t>
        </is>
      </c>
      <c r="G60" t="n">
        <v>171.66</v>
      </c>
    </row>
    <row r="61">
      <c r="A61" t="inlineStr">
        <is>
          <t>CLM0060</t>
        </is>
      </c>
      <c r="B61" s="2" t="n">
        <v>45843</v>
      </c>
      <c r="C61" t="inlineStr">
        <is>
          <t>East</t>
        </is>
      </c>
      <c r="D61" t="inlineStr">
        <is>
          <t>Medical</t>
        </is>
      </c>
      <c r="E61" t="inlineStr">
        <is>
          <t>Medical Visit</t>
        </is>
      </c>
      <c r="F61" t="inlineStr">
        <is>
          <t>Denied</t>
        </is>
      </c>
      <c r="G61" t="n">
        <v>2823.05</v>
      </c>
    </row>
    <row r="62">
      <c r="A62" t="inlineStr">
        <is>
          <t>CLM0061</t>
        </is>
      </c>
      <c r="B62" s="2" t="n">
        <v>45954</v>
      </c>
      <c r="C62" t="inlineStr">
        <is>
          <t>North</t>
        </is>
      </c>
      <c r="D62" t="inlineStr">
        <is>
          <t>Compliance</t>
        </is>
      </c>
      <c r="E62" t="inlineStr">
        <is>
          <t>Medical Visit</t>
        </is>
      </c>
      <c r="F62" t="inlineStr">
        <is>
          <t>Denied</t>
        </is>
      </c>
      <c r="G62" t="n">
        <v>2900.51</v>
      </c>
    </row>
    <row r="63">
      <c r="A63" t="inlineStr">
        <is>
          <t>CLM0062</t>
        </is>
      </c>
      <c r="B63" s="2" t="n">
        <v>45748</v>
      </c>
      <c r="C63" t="inlineStr">
        <is>
          <t>East</t>
        </is>
      </c>
      <c r="D63" t="inlineStr">
        <is>
          <t>Operations</t>
        </is>
      </c>
      <c r="E63" t="inlineStr">
        <is>
          <t>Prescription</t>
        </is>
      </c>
      <c r="F63" t="inlineStr">
        <is>
          <t>Pending</t>
        </is>
      </c>
      <c r="G63" t="n">
        <v>1704.04</v>
      </c>
    </row>
    <row r="64">
      <c r="A64" t="inlineStr">
        <is>
          <t>CLM0063</t>
        </is>
      </c>
      <c r="B64" s="2" t="n">
        <v>45883</v>
      </c>
      <c r="C64" t="inlineStr">
        <is>
          <t>South</t>
        </is>
      </c>
      <c r="D64" t="inlineStr">
        <is>
          <t>Pharmacy</t>
        </is>
      </c>
      <c r="E64" t="inlineStr">
        <is>
          <t>Lab</t>
        </is>
      </c>
      <c r="F64" t="inlineStr">
        <is>
          <t>Denied</t>
        </is>
      </c>
      <c r="G64" t="n">
        <v>2931.45</v>
      </c>
    </row>
    <row r="65">
      <c r="A65" t="inlineStr">
        <is>
          <t>CLM0064</t>
        </is>
      </c>
      <c r="B65" s="2" t="n">
        <v>45934</v>
      </c>
      <c r="C65" t="inlineStr">
        <is>
          <t>West</t>
        </is>
      </c>
      <c r="D65" t="inlineStr">
        <is>
          <t>Medical</t>
        </is>
      </c>
      <c r="E65" t="inlineStr">
        <is>
          <t>Prescription</t>
        </is>
      </c>
      <c r="F65" t="inlineStr">
        <is>
          <t>Pending</t>
        </is>
      </c>
      <c r="G65" t="n">
        <v>2975.02</v>
      </c>
    </row>
    <row r="66">
      <c r="A66" t="inlineStr">
        <is>
          <t>CLM0065</t>
        </is>
      </c>
      <c r="B66" s="2" t="n">
        <v>45811</v>
      </c>
      <c r="C66" t="inlineStr">
        <is>
          <t>East</t>
        </is>
      </c>
      <c r="D66" t="inlineStr">
        <is>
          <t>Pharmacy</t>
        </is>
      </c>
      <c r="E66" t="inlineStr">
        <is>
          <t>Prescription</t>
        </is>
      </c>
      <c r="F66" t="inlineStr">
        <is>
          <t>Approved</t>
        </is>
      </c>
      <c r="G66" t="n">
        <v>4864.75</v>
      </c>
    </row>
    <row r="67">
      <c r="A67" t="inlineStr">
        <is>
          <t>CLM0066</t>
        </is>
      </c>
      <c r="B67" s="2" t="n">
        <v>45789</v>
      </c>
      <c r="C67" t="inlineStr">
        <is>
          <t>South</t>
        </is>
      </c>
      <c r="D67" t="inlineStr">
        <is>
          <t>Operations</t>
        </is>
      </c>
      <c r="E67" t="inlineStr">
        <is>
          <t>Prescription</t>
        </is>
      </c>
      <c r="F67" t="inlineStr">
        <is>
          <t>Pending</t>
        </is>
      </c>
      <c r="G67" t="n">
        <v>3745.63</v>
      </c>
    </row>
    <row r="68">
      <c r="A68" t="inlineStr">
        <is>
          <t>CLM0067</t>
        </is>
      </c>
      <c r="B68" s="2" t="n">
        <v>45659</v>
      </c>
      <c r="C68" t="inlineStr">
        <is>
          <t>North</t>
        </is>
      </c>
      <c r="D68" t="inlineStr">
        <is>
          <t>Medical</t>
        </is>
      </c>
      <c r="E68" t="inlineStr">
        <is>
          <t>Prescription</t>
        </is>
      </c>
      <c r="F68" t="inlineStr">
        <is>
          <t>Approved</t>
        </is>
      </c>
      <c r="G68" t="n">
        <v>3943.15</v>
      </c>
    </row>
    <row r="69">
      <c r="A69" t="inlineStr">
        <is>
          <t>CLM0068</t>
        </is>
      </c>
      <c r="B69" s="2" t="n">
        <v>45780</v>
      </c>
      <c r="C69" t="inlineStr">
        <is>
          <t>South</t>
        </is>
      </c>
      <c r="D69" t="inlineStr">
        <is>
          <t>Pharmacy</t>
        </is>
      </c>
      <c r="E69" t="inlineStr">
        <is>
          <t>Prescription</t>
        </is>
      </c>
      <c r="F69" t="inlineStr">
        <is>
          <t>Pending</t>
        </is>
      </c>
      <c r="G69" t="n">
        <v>4726.65</v>
      </c>
    </row>
    <row r="70">
      <c r="A70" t="inlineStr">
        <is>
          <t>CLM0069</t>
        </is>
      </c>
      <c r="B70" s="2" t="n">
        <v>45899</v>
      </c>
      <c r="C70" t="inlineStr">
        <is>
          <t>South</t>
        </is>
      </c>
      <c r="D70" t="inlineStr">
        <is>
          <t>Pharmacy</t>
        </is>
      </c>
      <c r="E70" t="inlineStr">
        <is>
          <t>Specialty</t>
        </is>
      </c>
      <c r="F70" t="inlineStr">
        <is>
          <t>Denied</t>
        </is>
      </c>
      <c r="G70" t="n">
        <v>763.89</v>
      </c>
    </row>
    <row r="71">
      <c r="A71" t="inlineStr">
        <is>
          <t>CLM0070</t>
        </is>
      </c>
      <c r="B71" s="2" t="n">
        <v>46001</v>
      </c>
      <c r="C71" t="inlineStr">
        <is>
          <t>East</t>
        </is>
      </c>
      <c r="D71" t="inlineStr">
        <is>
          <t>Medical</t>
        </is>
      </c>
      <c r="E71" t="inlineStr">
        <is>
          <t>Specialty</t>
        </is>
      </c>
      <c r="F71" t="inlineStr">
        <is>
          <t>Pending</t>
        </is>
      </c>
      <c r="G71" t="n">
        <v>1518.17</v>
      </c>
    </row>
    <row r="72">
      <c r="A72" t="inlineStr">
        <is>
          <t>CLM0071</t>
        </is>
      </c>
      <c r="B72" s="2" t="n">
        <v>45764</v>
      </c>
      <c r="C72" t="inlineStr">
        <is>
          <t>West</t>
        </is>
      </c>
      <c r="D72" t="inlineStr">
        <is>
          <t>Medical</t>
        </is>
      </c>
      <c r="E72" t="inlineStr">
        <is>
          <t>Prescription</t>
        </is>
      </c>
      <c r="F72" t="inlineStr">
        <is>
          <t>Approved</t>
        </is>
      </c>
      <c r="G72" t="n">
        <v>4372.19</v>
      </c>
    </row>
    <row r="73">
      <c r="A73" t="inlineStr">
        <is>
          <t>CLM0072</t>
        </is>
      </c>
      <c r="B73" s="2" t="n">
        <v>45823</v>
      </c>
      <c r="C73" t="inlineStr">
        <is>
          <t>West</t>
        </is>
      </c>
      <c r="D73" t="inlineStr">
        <is>
          <t>Compliance</t>
        </is>
      </c>
      <c r="E73" t="inlineStr">
        <is>
          <t>Lab</t>
        </is>
      </c>
      <c r="F73" t="inlineStr">
        <is>
          <t>Pending</t>
        </is>
      </c>
      <c r="G73" t="n">
        <v>4614.25</v>
      </c>
    </row>
    <row r="74">
      <c r="A74" t="inlineStr">
        <is>
          <t>CLM0073</t>
        </is>
      </c>
      <c r="B74" s="2" t="n">
        <v>45995</v>
      </c>
      <c r="C74" t="inlineStr">
        <is>
          <t>West</t>
        </is>
      </c>
      <c r="D74" t="inlineStr">
        <is>
          <t>Pharmacy</t>
        </is>
      </c>
      <c r="E74" t="inlineStr">
        <is>
          <t>Lab</t>
        </is>
      </c>
      <c r="F74" t="inlineStr">
        <is>
          <t>Denied</t>
        </is>
      </c>
      <c r="G74" t="n">
        <v>2635.14</v>
      </c>
    </row>
    <row r="75">
      <c r="A75" t="inlineStr">
        <is>
          <t>CLM0074</t>
        </is>
      </c>
      <c r="B75" s="2" t="n">
        <v>45707</v>
      </c>
      <c r="C75" t="inlineStr">
        <is>
          <t>South</t>
        </is>
      </c>
      <c r="D75" t="inlineStr">
        <is>
          <t>Compliance</t>
        </is>
      </c>
      <c r="E75" t="inlineStr">
        <is>
          <t>Prescription</t>
        </is>
      </c>
      <c r="F75" t="inlineStr">
        <is>
          <t>Approved</t>
        </is>
      </c>
      <c r="G75" t="n">
        <v>926.98</v>
      </c>
    </row>
    <row r="76">
      <c r="A76" t="inlineStr">
        <is>
          <t>CLM0075</t>
        </is>
      </c>
      <c r="B76" s="2" t="n">
        <v>45939</v>
      </c>
      <c r="C76" t="inlineStr">
        <is>
          <t>East</t>
        </is>
      </c>
      <c r="D76" t="inlineStr">
        <is>
          <t>Compliance</t>
        </is>
      </c>
      <c r="E76" t="inlineStr">
        <is>
          <t>Prescription</t>
        </is>
      </c>
      <c r="F76" t="inlineStr">
        <is>
          <t>Denied</t>
        </is>
      </c>
      <c r="G76" t="n">
        <v>2368.59</v>
      </c>
    </row>
    <row r="77">
      <c r="A77" t="inlineStr">
        <is>
          <t>CLM0076</t>
        </is>
      </c>
      <c r="B77" s="2" t="n">
        <v>45815</v>
      </c>
      <c r="C77" t="inlineStr">
        <is>
          <t>North</t>
        </is>
      </c>
      <c r="D77" t="inlineStr">
        <is>
          <t>Compliance</t>
        </is>
      </c>
      <c r="E77" t="inlineStr">
        <is>
          <t>Specialty</t>
        </is>
      </c>
      <c r="F77" t="inlineStr">
        <is>
          <t>Approved</t>
        </is>
      </c>
      <c r="G77" t="n">
        <v>1781.43</v>
      </c>
    </row>
    <row r="78">
      <c r="A78" t="inlineStr">
        <is>
          <t>CLM0077</t>
        </is>
      </c>
      <c r="B78" s="2" t="n">
        <v>45715</v>
      </c>
      <c r="C78" t="inlineStr">
        <is>
          <t>South</t>
        </is>
      </c>
      <c r="D78" t="inlineStr">
        <is>
          <t>Medical</t>
        </is>
      </c>
      <c r="E78" t="inlineStr">
        <is>
          <t>Prescription</t>
        </is>
      </c>
      <c r="F78" t="inlineStr">
        <is>
          <t>Approved</t>
        </is>
      </c>
      <c r="G78" t="n">
        <v>3001.5</v>
      </c>
    </row>
    <row r="79">
      <c r="A79" t="inlineStr">
        <is>
          <t>CLM0078</t>
        </is>
      </c>
      <c r="B79" s="2" t="n">
        <v>45771</v>
      </c>
      <c r="C79" t="inlineStr">
        <is>
          <t>South</t>
        </is>
      </c>
      <c r="D79" t="inlineStr">
        <is>
          <t>Operations</t>
        </is>
      </c>
      <c r="E79" t="inlineStr">
        <is>
          <t>Specialty</t>
        </is>
      </c>
      <c r="F79" t="inlineStr">
        <is>
          <t>Denied</t>
        </is>
      </c>
      <c r="G79" t="n">
        <v>1533.43</v>
      </c>
    </row>
    <row r="80">
      <c r="A80" t="inlineStr">
        <is>
          <t>CLM0079</t>
        </is>
      </c>
      <c r="B80" s="2" t="n">
        <v>45971</v>
      </c>
      <c r="C80" t="inlineStr">
        <is>
          <t>West</t>
        </is>
      </c>
      <c r="D80" t="inlineStr">
        <is>
          <t>Compliance</t>
        </is>
      </c>
      <c r="E80" t="inlineStr">
        <is>
          <t>Specialty</t>
        </is>
      </c>
      <c r="F80" t="inlineStr">
        <is>
          <t>Pending</t>
        </is>
      </c>
      <c r="G80" t="n">
        <v>2033.59</v>
      </c>
    </row>
    <row r="81">
      <c r="A81" t="inlineStr">
        <is>
          <t>CLM0080</t>
        </is>
      </c>
      <c r="B81" s="2" t="n">
        <v>45972</v>
      </c>
      <c r="C81" t="inlineStr">
        <is>
          <t>East</t>
        </is>
      </c>
      <c r="D81" t="inlineStr">
        <is>
          <t>Pharmacy</t>
        </is>
      </c>
      <c r="E81" t="inlineStr">
        <is>
          <t>Medical Visit</t>
        </is>
      </c>
      <c r="F81" t="inlineStr">
        <is>
          <t>Pending</t>
        </is>
      </c>
      <c r="G81" t="n">
        <v>3173.39</v>
      </c>
    </row>
    <row r="82">
      <c r="A82" t="inlineStr">
        <is>
          <t>CLM0081</t>
        </is>
      </c>
      <c r="B82" s="2" t="n">
        <v>45711</v>
      </c>
      <c r="C82" t="inlineStr">
        <is>
          <t>South</t>
        </is>
      </c>
      <c r="D82" t="inlineStr">
        <is>
          <t>Pharmacy</t>
        </is>
      </c>
      <c r="E82" t="inlineStr">
        <is>
          <t>Lab</t>
        </is>
      </c>
      <c r="F82" t="inlineStr">
        <is>
          <t>Pending</t>
        </is>
      </c>
      <c r="G82" t="n">
        <v>845.5</v>
      </c>
    </row>
    <row r="83">
      <c r="A83" t="inlineStr">
        <is>
          <t>CLM0082</t>
        </is>
      </c>
      <c r="B83" s="2" t="n">
        <v>45849</v>
      </c>
      <c r="C83" t="inlineStr">
        <is>
          <t>North</t>
        </is>
      </c>
      <c r="D83" t="inlineStr">
        <is>
          <t>Compliance</t>
        </is>
      </c>
      <c r="E83" t="inlineStr">
        <is>
          <t>Lab</t>
        </is>
      </c>
      <c r="F83" t="inlineStr">
        <is>
          <t>Approved</t>
        </is>
      </c>
      <c r="G83" t="n">
        <v>348.79</v>
      </c>
    </row>
    <row r="84">
      <c r="A84" t="inlineStr">
        <is>
          <t>CLM0083</t>
        </is>
      </c>
      <c r="B84" s="2" t="n">
        <v>45777</v>
      </c>
      <c r="C84" t="inlineStr">
        <is>
          <t>North</t>
        </is>
      </c>
      <c r="D84" t="inlineStr">
        <is>
          <t>Medical</t>
        </is>
      </c>
      <c r="E84" t="inlineStr">
        <is>
          <t>Specialty</t>
        </is>
      </c>
      <c r="F84" t="inlineStr">
        <is>
          <t>Pending</t>
        </is>
      </c>
      <c r="G84" t="n">
        <v>4275.87</v>
      </c>
    </row>
    <row r="85">
      <c r="A85" t="inlineStr">
        <is>
          <t>CLM0084</t>
        </is>
      </c>
      <c r="B85" s="2" t="n">
        <v>45875</v>
      </c>
      <c r="C85" t="inlineStr">
        <is>
          <t>West</t>
        </is>
      </c>
      <c r="D85" t="inlineStr">
        <is>
          <t>Pharmacy</t>
        </is>
      </c>
      <c r="E85" t="inlineStr">
        <is>
          <t>Prescription</t>
        </is>
      </c>
      <c r="F85" t="inlineStr">
        <is>
          <t>Pending</t>
        </is>
      </c>
      <c r="G85" t="n">
        <v>3756.42</v>
      </c>
    </row>
    <row r="86">
      <c r="A86" t="inlineStr">
        <is>
          <t>CLM0085</t>
        </is>
      </c>
      <c r="B86" s="2" t="n">
        <v>45941</v>
      </c>
      <c r="C86" t="inlineStr">
        <is>
          <t>North</t>
        </is>
      </c>
      <c r="D86" t="inlineStr">
        <is>
          <t>Compliance</t>
        </is>
      </c>
      <c r="E86" t="inlineStr">
        <is>
          <t>Specialty</t>
        </is>
      </c>
      <c r="F86" t="inlineStr">
        <is>
          <t>Pending</t>
        </is>
      </c>
      <c r="G86" t="n">
        <v>792.74</v>
      </c>
    </row>
    <row r="87">
      <c r="A87" t="inlineStr">
        <is>
          <t>CLM0086</t>
        </is>
      </c>
      <c r="B87" s="2" t="n">
        <v>45964</v>
      </c>
      <c r="C87" t="inlineStr">
        <is>
          <t>West</t>
        </is>
      </c>
      <c r="D87" t="inlineStr">
        <is>
          <t>Pharmacy</t>
        </is>
      </c>
      <c r="E87" t="inlineStr">
        <is>
          <t>Prescription</t>
        </is>
      </c>
      <c r="F87" t="inlineStr">
        <is>
          <t>Denied</t>
        </is>
      </c>
      <c r="G87" t="n">
        <v>2569.21</v>
      </c>
    </row>
    <row r="88">
      <c r="A88" t="inlineStr">
        <is>
          <t>CLM0087</t>
        </is>
      </c>
      <c r="B88" s="2" t="n">
        <v>45944</v>
      </c>
      <c r="C88" t="inlineStr">
        <is>
          <t>South</t>
        </is>
      </c>
      <c r="D88" t="inlineStr">
        <is>
          <t>Operations</t>
        </is>
      </c>
      <c r="E88" t="inlineStr">
        <is>
          <t>Specialty</t>
        </is>
      </c>
      <c r="F88" t="inlineStr">
        <is>
          <t>Approved</t>
        </is>
      </c>
      <c r="G88" t="n">
        <v>4049.91</v>
      </c>
    </row>
    <row r="89">
      <c r="A89" t="inlineStr">
        <is>
          <t>CLM0088</t>
        </is>
      </c>
      <c r="B89" s="2" t="n">
        <v>45928</v>
      </c>
      <c r="C89" t="inlineStr">
        <is>
          <t>West</t>
        </is>
      </c>
      <c r="D89" t="inlineStr">
        <is>
          <t>Medical</t>
        </is>
      </c>
      <c r="E89" t="inlineStr">
        <is>
          <t>Specialty</t>
        </is>
      </c>
      <c r="F89" t="inlineStr">
        <is>
          <t>Approved</t>
        </is>
      </c>
      <c r="G89" t="n">
        <v>3221.02</v>
      </c>
    </row>
    <row r="90">
      <c r="A90" t="inlineStr">
        <is>
          <t>CLM0089</t>
        </is>
      </c>
      <c r="B90" s="2" t="n">
        <v>46011</v>
      </c>
      <c r="C90" t="inlineStr">
        <is>
          <t>West</t>
        </is>
      </c>
      <c r="D90" t="inlineStr">
        <is>
          <t>Compliance</t>
        </is>
      </c>
      <c r="E90" t="inlineStr">
        <is>
          <t>Specialty</t>
        </is>
      </c>
      <c r="F90" t="inlineStr">
        <is>
          <t>Approved</t>
        </is>
      </c>
      <c r="G90" t="n">
        <v>3327.13</v>
      </c>
    </row>
    <row r="91">
      <c r="A91" t="inlineStr">
        <is>
          <t>CLM0090</t>
        </is>
      </c>
      <c r="B91" s="2" t="n">
        <v>45967</v>
      </c>
      <c r="C91" t="inlineStr">
        <is>
          <t>North</t>
        </is>
      </c>
      <c r="D91" t="inlineStr">
        <is>
          <t>Pharmacy</t>
        </is>
      </c>
      <c r="E91" t="inlineStr">
        <is>
          <t>Specialty</t>
        </is>
      </c>
      <c r="F91" t="inlineStr">
        <is>
          <t>Denied</t>
        </is>
      </c>
      <c r="G91" t="n">
        <v>3703.47</v>
      </c>
    </row>
    <row r="92">
      <c r="A92" t="inlineStr">
        <is>
          <t>CLM0091</t>
        </is>
      </c>
      <c r="B92" s="2" t="n">
        <v>45754</v>
      </c>
      <c r="C92" t="inlineStr">
        <is>
          <t>East</t>
        </is>
      </c>
      <c r="D92" t="inlineStr">
        <is>
          <t>Pharmacy</t>
        </is>
      </c>
      <c r="E92" t="inlineStr">
        <is>
          <t>Medical Visit</t>
        </is>
      </c>
      <c r="F92" t="inlineStr">
        <is>
          <t>Approved</t>
        </is>
      </c>
      <c r="G92" t="n">
        <v>2367.9</v>
      </c>
    </row>
    <row r="93">
      <c r="A93" t="inlineStr">
        <is>
          <t>CLM0092</t>
        </is>
      </c>
      <c r="B93" s="2" t="n">
        <v>45745</v>
      </c>
      <c r="C93" t="inlineStr">
        <is>
          <t>East</t>
        </is>
      </c>
      <c r="D93" t="inlineStr">
        <is>
          <t>Compliance</t>
        </is>
      </c>
      <c r="E93" t="inlineStr">
        <is>
          <t>Prescription</t>
        </is>
      </c>
      <c r="F93" t="inlineStr">
        <is>
          <t>Approved</t>
        </is>
      </c>
      <c r="G93" t="n">
        <v>1885.83</v>
      </c>
    </row>
    <row r="94">
      <c r="A94" t="inlineStr">
        <is>
          <t>CLM0093</t>
        </is>
      </c>
      <c r="B94" s="2" t="n">
        <v>45777</v>
      </c>
      <c r="C94" t="inlineStr">
        <is>
          <t>West</t>
        </is>
      </c>
      <c r="D94" t="inlineStr">
        <is>
          <t>Pharmacy</t>
        </is>
      </c>
      <c r="E94" t="inlineStr">
        <is>
          <t>Prescription</t>
        </is>
      </c>
      <c r="F94" t="inlineStr">
        <is>
          <t>Denied</t>
        </is>
      </c>
      <c r="G94" t="n">
        <v>4111.23</v>
      </c>
    </row>
    <row r="95">
      <c r="A95" t="inlineStr">
        <is>
          <t>CLM0094</t>
        </is>
      </c>
      <c r="B95" s="2" t="n">
        <v>45832</v>
      </c>
      <c r="C95" t="inlineStr">
        <is>
          <t>South</t>
        </is>
      </c>
      <c r="D95" t="inlineStr">
        <is>
          <t>Pharmacy</t>
        </is>
      </c>
      <c r="E95" t="inlineStr">
        <is>
          <t>Specialty</t>
        </is>
      </c>
      <c r="F95" t="inlineStr">
        <is>
          <t>Approved</t>
        </is>
      </c>
      <c r="G95" t="n">
        <v>888.76</v>
      </c>
    </row>
    <row r="96">
      <c r="A96" t="inlineStr">
        <is>
          <t>CLM0095</t>
        </is>
      </c>
      <c r="B96" s="2" t="n">
        <v>45993</v>
      </c>
      <c r="C96" t="inlineStr">
        <is>
          <t>West</t>
        </is>
      </c>
      <c r="D96" t="inlineStr">
        <is>
          <t>Medical</t>
        </is>
      </c>
      <c r="E96" t="inlineStr">
        <is>
          <t>Prescription</t>
        </is>
      </c>
      <c r="F96" t="inlineStr">
        <is>
          <t>Pending</t>
        </is>
      </c>
      <c r="G96" t="n">
        <v>4788.46</v>
      </c>
    </row>
    <row r="97">
      <c r="A97" t="inlineStr">
        <is>
          <t>CLM0096</t>
        </is>
      </c>
      <c r="B97" s="2" t="n">
        <v>45984</v>
      </c>
      <c r="C97" t="inlineStr">
        <is>
          <t>East</t>
        </is>
      </c>
      <c r="D97" t="inlineStr">
        <is>
          <t>Operations</t>
        </is>
      </c>
      <c r="E97" t="inlineStr">
        <is>
          <t>Specialty</t>
        </is>
      </c>
      <c r="F97" t="inlineStr">
        <is>
          <t>Denied</t>
        </is>
      </c>
      <c r="G97" t="n">
        <v>2433.95</v>
      </c>
    </row>
    <row r="98">
      <c r="A98" t="inlineStr">
        <is>
          <t>CLM0097</t>
        </is>
      </c>
      <c r="B98" s="2" t="n">
        <v>45940</v>
      </c>
      <c r="C98" t="inlineStr">
        <is>
          <t>East</t>
        </is>
      </c>
      <c r="D98" t="inlineStr">
        <is>
          <t>Operations</t>
        </is>
      </c>
      <c r="E98" t="inlineStr">
        <is>
          <t>Lab</t>
        </is>
      </c>
      <c r="F98" t="inlineStr">
        <is>
          <t>Pending</t>
        </is>
      </c>
      <c r="G98" t="n">
        <v>3749.61</v>
      </c>
    </row>
    <row r="99">
      <c r="A99" t="inlineStr">
        <is>
          <t>CLM0098</t>
        </is>
      </c>
      <c r="B99" s="2" t="n">
        <v>45710</v>
      </c>
      <c r="C99" t="inlineStr">
        <is>
          <t>West</t>
        </is>
      </c>
      <c r="D99" t="inlineStr">
        <is>
          <t>Medical</t>
        </is>
      </c>
      <c r="E99" t="inlineStr">
        <is>
          <t>Prescription</t>
        </is>
      </c>
      <c r="F99" t="inlineStr">
        <is>
          <t>Approved</t>
        </is>
      </c>
      <c r="G99" t="n">
        <v>374.95</v>
      </c>
    </row>
    <row r="100">
      <c r="A100" t="inlineStr">
        <is>
          <t>CLM0099</t>
        </is>
      </c>
      <c r="B100" s="2" t="n">
        <v>45841</v>
      </c>
      <c r="C100" t="inlineStr">
        <is>
          <t>North</t>
        </is>
      </c>
      <c r="D100" t="inlineStr">
        <is>
          <t>Pharmacy</t>
        </is>
      </c>
      <c r="E100" t="inlineStr">
        <is>
          <t>Specialty</t>
        </is>
      </c>
      <c r="F100" t="inlineStr">
        <is>
          <t>Pending</t>
        </is>
      </c>
      <c r="G100" t="n">
        <v>3516.06</v>
      </c>
    </row>
    <row r="101">
      <c r="A101" t="inlineStr">
        <is>
          <t>CLM0100</t>
        </is>
      </c>
      <c r="B101" s="2" t="n">
        <v>45659</v>
      </c>
      <c r="C101" t="inlineStr">
        <is>
          <t>West</t>
        </is>
      </c>
      <c r="D101" t="inlineStr">
        <is>
          <t>Medical</t>
        </is>
      </c>
      <c r="E101" t="inlineStr">
        <is>
          <t>Medical Visit</t>
        </is>
      </c>
      <c r="F101" t="inlineStr">
        <is>
          <t>Denied</t>
        </is>
      </c>
      <c r="G101" t="n">
        <v>4496.82</v>
      </c>
    </row>
    <row r="102">
      <c r="A102" t="inlineStr">
        <is>
          <t>CLM0101</t>
        </is>
      </c>
      <c r="B102" s="2" t="n">
        <v>45888</v>
      </c>
      <c r="C102" t="inlineStr">
        <is>
          <t>West</t>
        </is>
      </c>
      <c r="D102" t="inlineStr">
        <is>
          <t>Pharmacy</t>
        </is>
      </c>
      <c r="E102" t="inlineStr">
        <is>
          <t>Medical Visit</t>
        </is>
      </c>
      <c r="F102" t="inlineStr">
        <is>
          <t>Pending</t>
        </is>
      </c>
      <c r="G102" t="n">
        <v>415.58</v>
      </c>
    </row>
    <row r="103">
      <c r="A103" t="inlineStr">
        <is>
          <t>CLM0102</t>
        </is>
      </c>
      <c r="B103" s="2" t="n">
        <v>45860</v>
      </c>
      <c r="C103" t="inlineStr">
        <is>
          <t>West</t>
        </is>
      </c>
      <c r="D103" t="inlineStr">
        <is>
          <t>Medical</t>
        </is>
      </c>
      <c r="E103" t="inlineStr">
        <is>
          <t>Prescription</t>
        </is>
      </c>
      <c r="F103" t="inlineStr">
        <is>
          <t>Pending</t>
        </is>
      </c>
      <c r="G103" t="n">
        <v>2464.77</v>
      </c>
    </row>
    <row r="104">
      <c r="A104" t="inlineStr">
        <is>
          <t>CLM0103</t>
        </is>
      </c>
      <c r="B104" s="2" t="n">
        <v>45854</v>
      </c>
      <c r="C104" t="inlineStr">
        <is>
          <t>East</t>
        </is>
      </c>
      <c r="D104" t="inlineStr">
        <is>
          <t>Operations</t>
        </is>
      </c>
      <c r="E104" t="inlineStr">
        <is>
          <t>Prescription</t>
        </is>
      </c>
      <c r="F104" t="inlineStr">
        <is>
          <t>Approved</t>
        </is>
      </c>
      <c r="G104" t="n">
        <v>1287.1</v>
      </c>
    </row>
    <row r="105">
      <c r="A105" t="inlineStr">
        <is>
          <t>CLM0104</t>
        </is>
      </c>
      <c r="B105" s="2" t="n">
        <v>45659</v>
      </c>
      <c r="C105" t="inlineStr">
        <is>
          <t>South</t>
        </is>
      </c>
      <c r="D105" t="inlineStr">
        <is>
          <t>Pharmacy</t>
        </is>
      </c>
      <c r="E105" t="inlineStr">
        <is>
          <t>Medical Visit</t>
        </is>
      </c>
      <c r="F105" t="inlineStr">
        <is>
          <t>Denied</t>
        </is>
      </c>
      <c r="G105" t="n">
        <v>4009.72</v>
      </c>
    </row>
    <row r="106">
      <c r="A106" t="inlineStr">
        <is>
          <t>CLM0105</t>
        </is>
      </c>
      <c r="B106" s="2" t="n">
        <v>45776</v>
      </c>
      <c r="C106" t="inlineStr">
        <is>
          <t>West</t>
        </is>
      </c>
      <c r="D106" t="inlineStr">
        <is>
          <t>Pharmacy</t>
        </is>
      </c>
      <c r="E106" t="inlineStr">
        <is>
          <t>Specialty</t>
        </is>
      </c>
      <c r="F106" t="inlineStr">
        <is>
          <t>Denied</t>
        </is>
      </c>
      <c r="G106" t="n">
        <v>2680.59</v>
      </c>
    </row>
    <row r="107">
      <c r="A107" t="inlineStr">
        <is>
          <t>CLM0106</t>
        </is>
      </c>
      <c r="B107" s="2" t="n">
        <v>45693</v>
      </c>
      <c r="C107" t="inlineStr">
        <is>
          <t>North</t>
        </is>
      </c>
      <c r="D107" t="inlineStr">
        <is>
          <t>Pharmacy</t>
        </is>
      </c>
      <c r="E107" t="inlineStr">
        <is>
          <t>Lab</t>
        </is>
      </c>
      <c r="F107" t="inlineStr">
        <is>
          <t>Pending</t>
        </is>
      </c>
      <c r="G107" t="n">
        <v>241.62</v>
      </c>
    </row>
    <row r="108">
      <c r="A108" t="inlineStr">
        <is>
          <t>CLM0107</t>
        </is>
      </c>
      <c r="B108" s="2" t="n">
        <v>45789</v>
      </c>
      <c r="C108" t="inlineStr">
        <is>
          <t>West</t>
        </is>
      </c>
      <c r="D108" t="inlineStr">
        <is>
          <t>Operations</t>
        </is>
      </c>
      <c r="E108" t="inlineStr">
        <is>
          <t>Specialty</t>
        </is>
      </c>
      <c r="F108" t="inlineStr">
        <is>
          <t>Approved</t>
        </is>
      </c>
      <c r="G108" t="n">
        <v>4945.79</v>
      </c>
    </row>
    <row r="109">
      <c r="A109" t="inlineStr">
        <is>
          <t>CLM0108</t>
        </is>
      </c>
      <c r="B109" s="2" t="n">
        <v>45898</v>
      </c>
      <c r="C109" t="inlineStr">
        <is>
          <t>West</t>
        </is>
      </c>
      <c r="D109" t="inlineStr">
        <is>
          <t>Medical</t>
        </is>
      </c>
      <c r="E109" t="inlineStr">
        <is>
          <t>Medical Visit</t>
        </is>
      </c>
      <c r="F109" t="inlineStr">
        <is>
          <t>Denied</t>
        </is>
      </c>
      <c r="G109" t="n">
        <v>1114.61</v>
      </c>
    </row>
    <row r="110">
      <c r="A110" t="inlineStr">
        <is>
          <t>CLM0109</t>
        </is>
      </c>
      <c r="B110" s="2" t="n">
        <v>45899</v>
      </c>
      <c r="C110" t="inlineStr">
        <is>
          <t>East</t>
        </is>
      </c>
      <c r="D110" t="inlineStr">
        <is>
          <t>Operations</t>
        </is>
      </c>
      <c r="E110" t="inlineStr">
        <is>
          <t>Specialty</t>
        </is>
      </c>
      <c r="F110" t="inlineStr">
        <is>
          <t>Pending</t>
        </is>
      </c>
      <c r="G110" t="n">
        <v>4592.76</v>
      </c>
    </row>
    <row r="111">
      <c r="A111" t="inlineStr">
        <is>
          <t>CLM0110</t>
        </is>
      </c>
      <c r="B111" s="2" t="n">
        <v>45924</v>
      </c>
      <c r="C111" t="inlineStr">
        <is>
          <t>East</t>
        </is>
      </c>
      <c r="D111" t="inlineStr">
        <is>
          <t>Compliance</t>
        </is>
      </c>
      <c r="E111" t="inlineStr">
        <is>
          <t>Lab</t>
        </is>
      </c>
      <c r="F111" t="inlineStr">
        <is>
          <t>Approved</t>
        </is>
      </c>
      <c r="G111" t="n">
        <v>4288.31</v>
      </c>
    </row>
    <row r="112">
      <c r="A112" t="inlineStr">
        <is>
          <t>CLM0111</t>
        </is>
      </c>
      <c r="B112" s="2" t="n">
        <v>45790</v>
      </c>
      <c r="C112" t="inlineStr">
        <is>
          <t>South</t>
        </is>
      </c>
      <c r="D112" t="inlineStr">
        <is>
          <t>Operations</t>
        </is>
      </c>
      <c r="E112" t="inlineStr">
        <is>
          <t>Specialty</t>
        </is>
      </c>
      <c r="F112" t="inlineStr">
        <is>
          <t>Denied</t>
        </is>
      </c>
      <c r="G112" t="n">
        <v>4417.65</v>
      </c>
    </row>
    <row r="113">
      <c r="A113" t="inlineStr">
        <is>
          <t>CLM0112</t>
        </is>
      </c>
      <c r="B113" s="2" t="n">
        <v>45853</v>
      </c>
      <c r="C113" t="inlineStr">
        <is>
          <t>East</t>
        </is>
      </c>
      <c r="D113" t="inlineStr">
        <is>
          <t>Pharmacy</t>
        </is>
      </c>
      <c r="E113" t="inlineStr">
        <is>
          <t>Lab</t>
        </is>
      </c>
      <c r="F113" t="inlineStr">
        <is>
          <t>Approved</t>
        </is>
      </c>
      <c r="G113" t="n">
        <v>2395.96</v>
      </c>
    </row>
    <row r="114">
      <c r="A114" t="inlineStr">
        <is>
          <t>CLM0113</t>
        </is>
      </c>
      <c r="B114" s="2" t="n">
        <v>45879</v>
      </c>
      <c r="C114" t="inlineStr">
        <is>
          <t>East</t>
        </is>
      </c>
      <c r="D114" t="inlineStr">
        <is>
          <t>Compliance</t>
        </is>
      </c>
      <c r="E114" t="inlineStr">
        <is>
          <t>Specialty</t>
        </is>
      </c>
      <c r="F114" t="inlineStr">
        <is>
          <t>Pending</t>
        </is>
      </c>
      <c r="G114" t="n">
        <v>992.54</v>
      </c>
    </row>
    <row r="115">
      <c r="A115" t="inlineStr">
        <is>
          <t>CLM0114</t>
        </is>
      </c>
      <c r="B115" s="2" t="n">
        <v>45670</v>
      </c>
      <c r="C115" t="inlineStr">
        <is>
          <t>East</t>
        </is>
      </c>
      <c r="D115" t="inlineStr">
        <is>
          <t>Pharmacy</t>
        </is>
      </c>
      <c r="E115" t="inlineStr">
        <is>
          <t>Specialty</t>
        </is>
      </c>
      <c r="F115" t="inlineStr">
        <is>
          <t>Approved</t>
        </is>
      </c>
      <c r="G115" t="n">
        <v>2523.14</v>
      </c>
    </row>
    <row r="116">
      <c r="A116" t="inlineStr">
        <is>
          <t>CLM0115</t>
        </is>
      </c>
      <c r="B116" s="2" t="n">
        <v>45776</v>
      </c>
      <c r="C116" t="inlineStr">
        <is>
          <t>East</t>
        </is>
      </c>
      <c r="D116" t="inlineStr">
        <is>
          <t>Medical</t>
        </is>
      </c>
      <c r="E116" t="inlineStr">
        <is>
          <t>Medical Visit</t>
        </is>
      </c>
      <c r="F116" t="inlineStr">
        <is>
          <t>Denied</t>
        </is>
      </c>
      <c r="G116" t="n">
        <v>4884.99</v>
      </c>
    </row>
    <row r="117">
      <c r="A117" t="inlineStr">
        <is>
          <t>CLM0116</t>
        </is>
      </c>
      <c r="B117" s="2" t="n">
        <v>45989</v>
      </c>
      <c r="C117" t="inlineStr">
        <is>
          <t>East</t>
        </is>
      </c>
      <c r="D117" t="inlineStr">
        <is>
          <t>Pharmacy</t>
        </is>
      </c>
      <c r="E117" t="inlineStr">
        <is>
          <t>Medical Visit</t>
        </is>
      </c>
      <c r="F117" t="inlineStr">
        <is>
          <t>Denied</t>
        </is>
      </c>
      <c r="G117" t="n">
        <v>2787.57</v>
      </c>
    </row>
    <row r="118">
      <c r="A118" t="inlineStr">
        <is>
          <t>CLM0117</t>
        </is>
      </c>
      <c r="B118" s="2" t="n">
        <v>45668</v>
      </c>
      <c r="C118" t="inlineStr">
        <is>
          <t>North</t>
        </is>
      </c>
      <c r="D118" t="inlineStr">
        <is>
          <t>Compliance</t>
        </is>
      </c>
      <c r="E118" t="inlineStr">
        <is>
          <t>Medical Visit</t>
        </is>
      </c>
      <c r="F118" t="inlineStr">
        <is>
          <t>Denied</t>
        </is>
      </c>
      <c r="G118" t="n">
        <v>1915.5</v>
      </c>
    </row>
    <row r="119">
      <c r="A119" t="inlineStr">
        <is>
          <t>CLM0118</t>
        </is>
      </c>
      <c r="B119" s="2" t="n">
        <v>46019</v>
      </c>
      <c r="C119" t="inlineStr">
        <is>
          <t>West</t>
        </is>
      </c>
      <c r="D119" t="inlineStr">
        <is>
          <t>Medical</t>
        </is>
      </c>
      <c r="E119" t="inlineStr">
        <is>
          <t>Lab</t>
        </is>
      </c>
      <c r="F119" t="inlineStr">
        <is>
          <t>Approved</t>
        </is>
      </c>
      <c r="G119" t="n">
        <v>1834.83</v>
      </c>
    </row>
    <row r="120">
      <c r="A120" t="inlineStr">
        <is>
          <t>CLM0119</t>
        </is>
      </c>
      <c r="B120" s="2" t="n">
        <v>45855</v>
      </c>
      <c r="C120" t="inlineStr">
        <is>
          <t>North</t>
        </is>
      </c>
      <c r="D120" t="inlineStr">
        <is>
          <t>Medical</t>
        </is>
      </c>
      <c r="E120" t="inlineStr">
        <is>
          <t>Specialty</t>
        </is>
      </c>
      <c r="F120" t="inlineStr">
        <is>
          <t>Pending</t>
        </is>
      </c>
      <c r="G120" t="n">
        <v>354.8</v>
      </c>
    </row>
    <row r="121">
      <c r="A121" t="inlineStr">
        <is>
          <t>CLM0120</t>
        </is>
      </c>
      <c r="B121" s="2" t="n">
        <v>45822</v>
      </c>
      <c r="C121" t="inlineStr">
        <is>
          <t>East</t>
        </is>
      </c>
      <c r="D121" t="inlineStr">
        <is>
          <t>Operations</t>
        </is>
      </c>
      <c r="E121" t="inlineStr">
        <is>
          <t>Medical Visit</t>
        </is>
      </c>
      <c r="F121" t="inlineStr">
        <is>
          <t>Approved</t>
        </is>
      </c>
      <c r="G121" t="n">
        <v>894.6900000000001</v>
      </c>
    </row>
    <row r="122">
      <c r="A122" t="inlineStr">
        <is>
          <t>CLM0121</t>
        </is>
      </c>
      <c r="B122" s="2" t="n">
        <v>45903</v>
      </c>
      <c r="C122" t="inlineStr">
        <is>
          <t>North</t>
        </is>
      </c>
      <c r="D122" t="inlineStr">
        <is>
          <t>Medical</t>
        </is>
      </c>
      <c r="E122" t="inlineStr">
        <is>
          <t>Prescription</t>
        </is>
      </c>
      <c r="F122" t="inlineStr">
        <is>
          <t>Denied</t>
        </is>
      </c>
      <c r="G122" t="n">
        <v>1922.38</v>
      </c>
    </row>
    <row r="123">
      <c r="A123" t="inlineStr">
        <is>
          <t>CLM0122</t>
        </is>
      </c>
      <c r="B123" s="2" t="n">
        <v>45955</v>
      </c>
      <c r="C123" t="inlineStr">
        <is>
          <t>East</t>
        </is>
      </c>
      <c r="D123" t="inlineStr">
        <is>
          <t>Pharmacy</t>
        </is>
      </c>
      <c r="E123" t="inlineStr">
        <is>
          <t>Prescription</t>
        </is>
      </c>
      <c r="F123" t="inlineStr">
        <is>
          <t>Approved</t>
        </is>
      </c>
      <c r="G123" t="n">
        <v>2362.82</v>
      </c>
    </row>
    <row r="124">
      <c r="A124" t="inlineStr">
        <is>
          <t>CLM0123</t>
        </is>
      </c>
      <c r="B124" s="2" t="n">
        <v>45851</v>
      </c>
      <c r="C124" t="inlineStr">
        <is>
          <t>West</t>
        </is>
      </c>
      <c r="D124" t="inlineStr">
        <is>
          <t>Operations</t>
        </is>
      </c>
      <c r="E124" t="inlineStr">
        <is>
          <t>Specialty</t>
        </is>
      </c>
      <c r="F124" t="inlineStr">
        <is>
          <t>Denied</t>
        </is>
      </c>
      <c r="G124" t="n">
        <v>4485.58</v>
      </c>
    </row>
    <row r="125">
      <c r="A125" t="inlineStr">
        <is>
          <t>CLM0124</t>
        </is>
      </c>
      <c r="B125" s="2" t="n">
        <v>45848</v>
      </c>
      <c r="C125" t="inlineStr">
        <is>
          <t>North</t>
        </is>
      </c>
      <c r="D125" t="inlineStr">
        <is>
          <t>Pharmacy</t>
        </is>
      </c>
      <c r="E125" t="inlineStr">
        <is>
          <t>Medical Visit</t>
        </is>
      </c>
      <c r="F125" t="inlineStr">
        <is>
          <t>Denied</t>
        </is>
      </c>
      <c r="G125" t="n">
        <v>2543.37</v>
      </c>
    </row>
    <row r="126">
      <c r="A126" t="inlineStr">
        <is>
          <t>CLM0125</t>
        </is>
      </c>
      <c r="B126" s="2" t="n">
        <v>45660</v>
      </c>
      <c r="C126" t="inlineStr">
        <is>
          <t>West</t>
        </is>
      </c>
      <c r="D126" t="inlineStr">
        <is>
          <t>Compliance</t>
        </is>
      </c>
      <c r="E126" t="inlineStr">
        <is>
          <t>Lab</t>
        </is>
      </c>
      <c r="F126" t="inlineStr">
        <is>
          <t>Approved</t>
        </is>
      </c>
      <c r="G126" t="n">
        <v>3376.21</v>
      </c>
    </row>
    <row r="127">
      <c r="A127" t="inlineStr">
        <is>
          <t>CLM0126</t>
        </is>
      </c>
      <c r="B127" s="2" t="n">
        <v>45784</v>
      </c>
      <c r="C127" t="inlineStr">
        <is>
          <t>East</t>
        </is>
      </c>
      <c r="D127" t="inlineStr">
        <is>
          <t>Compliance</t>
        </is>
      </c>
      <c r="E127" t="inlineStr">
        <is>
          <t>Specialty</t>
        </is>
      </c>
      <c r="F127" t="inlineStr">
        <is>
          <t>Pending</t>
        </is>
      </c>
      <c r="G127" t="n">
        <v>3726.84</v>
      </c>
    </row>
    <row r="128">
      <c r="A128" t="inlineStr">
        <is>
          <t>CLM0127</t>
        </is>
      </c>
      <c r="B128" s="2" t="n">
        <v>45754</v>
      </c>
      <c r="C128" t="inlineStr">
        <is>
          <t>West</t>
        </is>
      </c>
      <c r="D128" t="inlineStr">
        <is>
          <t>Pharmacy</t>
        </is>
      </c>
      <c r="E128" t="inlineStr">
        <is>
          <t>Prescription</t>
        </is>
      </c>
      <c r="F128" t="inlineStr">
        <is>
          <t>Approved</t>
        </is>
      </c>
      <c r="G128" t="n">
        <v>860.84</v>
      </c>
    </row>
    <row r="129">
      <c r="A129" t="inlineStr">
        <is>
          <t>CLM0128</t>
        </is>
      </c>
      <c r="B129" s="2" t="n">
        <v>45938</v>
      </c>
      <c r="C129" t="inlineStr">
        <is>
          <t>North</t>
        </is>
      </c>
      <c r="D129" t="inlineStr">
        <is>
          <t>Medical</t>
        </is>
      </c>
      <c r="E129" t="inlineStr">
        <is>
          <t>Specialty</t>
        </is>
      </c>
      <c r="F129" t="inlineStr">
        <is>
          <t>Approved</t>
        </is>
      </c>
      <c r="G129" t="n">
        <v>3291.96</v>
      </c>
    </row>
    <row r="130">
      <c r="A130" t="inlineStr">
        <is>
          <t>CLM0129</t>
        </is>
      </c>
      <c r="B130" s="2" t="n">
        <v>45806</v>
      </c>
      <c r="C130" t="inlineStr">
        <is>
          <t>North</t>
        </is>
      </c>
      <c r="D130" t="inlineStr">
        <is>
          <t>Compliance</t>
        </is>
      </c>
      <c r="E130" t="inlineStr">
        <is>
          <t>Prescription</t>
        </is>
      </c>
      <c r="F130" t="inlineStr">
        <is>
          <t>Denied</t>
        </is>
      </c>
      <c r="G130" t="n">
        <v>1800.65</v>
      </c>
    </row>
    <row r="131">
      <c r="A131" t="inlineStr">
        <is>
          <t>CLM0130</t>
        </is>
      </c>
      <c r="B131" s="2" t="n">
        <v>45717</v>
      </c>
      <c r="C131" t="inlineStr">
        <is>
          <t>East</t>
        </is>
      </c>
      <c r="D131" t="inlineStr">
        <is>
          <t>Compliance</t>
        </is>
      </c>
      <c r="E131" t="inlineStr">
        <is>
          <t>Specialty</t>
        </is>
      </c>
      <c r="F131" t="inlineStr">
        <is>
          <t>Pending</t>
        </is>
      </c>
      <c r="G131" t="n">
        <v>4751.32</v>
      </c>
    </row>
    <row r="132">
      <c r="A132" t="inlineStr">
        <is>
          <t>CLM0131</t>
        </is>
      </c>
      <c r="B132" s="2" t="n">
        <v>45705</v>
      </c>
      <c r="C132" t="inlineStr">
        <is>
          <t>East</t>
        </is>
      </c>
      <c r="D132" t="inlineStr">
        <is>
          <t>Medical</t>
        </is>
      </c>
      <c r="E132" t="inlineStr">
        <is>
          <t>Lab</t>
        </is>
      </c>
      <c r="F132" t="inlineStr">
        <is>
          <t>Approved</t>
        </is>
      </c>
      <c r="G132" t="n">
        <v>2451.21</v>
      </c>
    </row>
    <row r="133">
      <c r="A133" t="inlineStr">
        <is>
          <t>CLM0132</t>
        </is>
      </c>
      <c r="B133" s="2" t="n">
        <v>45818</v>
      </c>
      <c r="C133" t="inlineStr">
        <is>
          <t>North</t>
        </is>
      </c>
      <c r="D133" t="inlineStr">
        <is>
          <t>Pharmacy</t>
        </is>
      </c>
      <c r="E133" t="inlineStr">
        <is>
          <t>Medical Visit</t>
        </is>
      </c>
      <c r="F133" t="inlineStr">
        <is>
          <t>Approved</t>
        </is>
      </c>
      <c r="G133" t="n">
        <v>4264.48</v>
      </c>
    </row>
    <row r="134">
      <c r="A134" t="inlineStr">
        <is>
          <t>CLM0133</t>
        </is>
      </c>
      <c r="B134" s="2" t="n">
        <v>45688</v>
      </c>
      <c r="C134" t="inlineStr">
        <is>
          <t>North</t>
        </is>
      </c>
      <c r="D134" t="inlineStr">
        <is>
          <t>Operations</t>
        </is>
      </c>
      <c r="E134" t="inlineStr">
        <is>
          <t>Medical Visit</t>
        </is>
      </c>
      <c r="F134" t="inlineStr">
        <is>
          <t>Pending</t>
        </is>
      </c>
      <c r="G134" t="n">
        <v>4313.8</v>
      </c>
    </row>
    <row r="135">
      <c r="A135" t="inlineStr">
        <is>
          <t>CLM0134</t>
        </is>
      </c>
      <c r="B135" s="2" t="n">
        <v>45896</v>
      </c>
      <c r="C135" t="inlineStr">
        <is>
          <t>North</t>
        </is>
      </c>
      <c r="D135" t="inlineStr">
        <is>
          <t>Compliance</t>
        </is>
      </c>
      <c r="E135" t="inlineStr">
        <is>
          <t>Specialty</t>
        </is>
      </c>
      <c r="F135" t="inlineStr">
        <is>
          <t>Approved</t>
        </is>
      </c>
      <c r="G135" t="n">
        <v>2536.61</v>
      </c>
    </row>
    <row r="136">
      <c r="A136" t="inlineStr">
        <is>
          <t>CLM0135</t>
        </is>
      </c>
      <c r="B136" s="2" t="n">
        <v>45699</v>
      </c>
      <c r="C136" t="inlineStr">
        <is>
          <t>East</t>
        </is>
      </c>
      <c r="D136" t="inlineStr">
        <is>
          <t>Operations</t>
        </is>
      </c>
      <c r="E136" t="inlineStr">
        <is>
          <t>Lab</t>
        </is>
      </c>
      <c r="F136" t="inlineStr">
        <is>
          <t>Denied</t>
        </is>
      </c>
      <c r="G136" t="n">
        <v>800.48</v>
      </c>
    </row>
    <row r="137">
      <c r="A137" t="inlineStr">
        <is>
          <t>CLM0136</t>
        </is>
      </c>
      <c r="B137" s="2" t="n">
        <v>45733</v>
      </c>
      <c r="C137" t="inlineStr">
        <is>
          <t>South</t>
        </is>
      </c>
      <c r="D137" t="inlineStr">
        <is>
          <t>Operations</t>
        </is>
      </c>
      <c r="E137" t="inlineStr">
        <is>
          <t>Specialty</t>
        </is>
      </c>
      <c r="F137" t="inlineStr">
        <is>
          <t>Approved</t>
        </is>
      </c>
      <c r="G137" t="n">
        <v>1332.32</v>
      </c>
    </row>
    <row r="138">
      <c r="A138" t="inlineStr">
        <is>
          <t>CLM0137</t>
        </is>
      </c>
      <c r="B138" s="2" t="n">
        <v>45969</v>
      </c>
      <c r="C138" t="inlineStr">
        <is>
          <t>North</t>
        </is>
      </c>
      <c r="D138" t="inlineStr">
        <is>
          <t>Pharmacy</t>
        </is>
      </c>
      <c r="E138" t="inlineStr">
        <is>
          <t>Medical Visit</t>
        </is>
      </c>
      <c r="F138" t="inlineStr">
        <is>
          <t>Approved</t>
        </is>
      </c>
      <c r="G138" t="n">
        <v>1058.44</v>
      </c>
    </row>
    <row r="139">
      <c r="A139" t="inlineStr">
        <is>
          <t>CLM0138</t>
        </is>
      </c>
      <c r="B139" s="2" t="n">
        <v>45777</v>
      </c>
      <c r="C139" t="inlineStr">
        <is>
          <t>North</t>
        </is>
      </c>
      <c r="D139" t="inlineStr">
        <is>
          <t>Operations</t>
        </is>
      </c>
      <c r="E139" t="inlineStr">
        <is>
          <t>Lab</t>
        </is>
      </c>
      <c r="F139" t="inlineStr">
        <is>
          <t>Approved</t>
        </is>
      </c>
      <c r="G139" t="n">
        <v>988.29</v>
      </c>
    </row>
    <row r="140">
      <c r="A140" t="inlineStr">
        <is>
          <t>CLM0139</t>
        </is>
      </c>
      <c r="B140" s="2" t="n">
        <v>45761</v>
      </c>
      <c r="C140" t="inlineStr">
        <is>
          <t>North</t>
        </is>
      </c>
      <c r="D140" t="inlineStr">
        <is>
          <t>Operations</t>
        </is>
      </c>
      <c r="E140" t="inlineStr">
        <is>
          <t>Specialty</t>
        </is>
      </c>
      <c r="F140" t="inlineStr">
        <is>
          <t>Pending</t>
        </is>
      </c>
      <c r="G140" t="n">
        <v>2524.17</v>
      </c>
    </row>
    <row r="141">
      <c r="A141" t="inlineStr">
        <is>
          <t>CLM0140</t>
        </is>
      </c>
      <c r="B141" s="2" t="n">
        <v>45690</v>
      </c>
      <c r="C141" t="inlineStr">
        <is>
          <t>East</t>
        </is>
      </c>
      <c r="D141" t="inlineStr">
        <is>
          <t>Compliance</t>
        </is>
      </c>
      <c r="E141" t="inlineStr">
        <is>
          <t>Prescription</t>
        </is>
      </c>
      <c r="F141" t="inlineStr">
        <is>
          <t>Approved</t>
        </is>
      </c>
      <c r="G141" t="n">
        <v>2410.6</v>
      </c>
    </row>
    <row r="142">
      <c r="A142" t="inlineStr">
        <is>
          <t>CLM0141</t>
        </is>
      </c>
      <c r="B142" s="2" t="n">
        <v>45780</v>
      </c>
      <c r="C142" t="inlineStr">
        <is>
          <t>North</t>
        </is>
      </c>
      <c r="D142" t="inlineStr">
        <is>
          <t>Compliance</t>
        </is>
      </c>
      <c r="E142" t="inlineStr">
        <is>
          <t>Lab</t>
        </is>
      </c>
      <c r="F142" t="inlineStr">
        <is>
          <t>Approved</t>
        </is>
      </c>
      <c r="G142" t="n">
        <v>1107.78</v>
      </c>
    </row>
    <row r="143">
      <c r="A143" t="inlineStr">
        <is>
          <t>CLM0142</t>
        </is>
      </c>
      <c r="B143" s="2" t="n">
        <v>45992</v>
      </c>
      <c r="C143" t="inlineStr">
        <is>
          <t>North</t>
        </is>
      </c>
      <c r="D143" t="inlineStr">
        <is>
          <t>Medical</t>
        </is>
      </c>
      <c r="E143" t="inlineStr">
        <is>
          <t>Specialty</t>
        </is>
      </c>
      <c r="F143" t="inlineStr">
        <is>
          <t>Denied</t>
        </is>
      </c>
      <c r="G143" t="n">
        <v>4342.69</v>
      </c>
    </row>
    <row r="144">
      <c r="A144" t="inlineStr">
        <is>
          <t>CLM0143</t>
        </is>
      </c>
      <c r="B144" s="2" t="n">
        <v>45971</v>
      </c>
      <c r="C144" t="inlineStr">
        <is>
          <t>West</t>
        </is>
      </c>
      <c r="D144" t="inlineStr">
        <is>
          <t>Pharmacy</t>
        </is>
      </c>
      <c r="E144" t="inlineStr">
        <is>
          <t>Lab</t>
        </is>
      </c>
      <c r="F144" t="inlineStr">
        <is>
          <t>Approved</t>
        </is>
      </c>
      <c r="G144" t="n">
        <v>239.26</v>
      </c>
    </row>
    <row r="145">
      <c r="A145" t="inlineStr">
        <is>
          <t>CLM0144</t>
        </is>
      </c>
      <c r="B145" s="2" t="n">
        <v>45866</v>
      </c>
      <c r="C145" t="inlineStr">
        <is>
          <t>North</t>
        </is>
      </c>
      <c r="D145" t="inlineStr">
        <is>
          <t>Pharmacy</t>
        </is>
      </c>
      <c r="E145" t="inlineStr">
        <is>
          <t>Lab</t>
        </is>
      </c>
      <c r="F145" t="inlineStr">
        <is>
          <t>Approved</t>
        </is>
      </c>
      <c r="G145" t="n">
        <v>1217.93</v>
      </c>
    </row>
    <row r="146">
      <c r="A146" t="inlineStr">
        <is>
          <t>CLM0145</t>
        </is>
      </c>
      <c r="B146" s="2" t="n">
        <v>45802</v>
      </c>
      <c r="C146" t="inlineStr">
        <is>
          <t>West</t>
        </is>
      </c>
      <c r="D146" t="inlineStr">
        <is>
          <t>Pharmacy</t>
        </is>
      </c>
      <c r="E146" t="inlineStr">
        <is>
          <t>Lab</t>
        </is>
      </c>
      <c r="F146" t="inlineStr">
        <is>
          <t>Approved</t>
        </is>
      </c>
      <c r="G146" t="n">
        <v>580.4400000000001</v>
      </c>
    </row>
    <row r="147">
      <c r="A147" t="inlineStr">
        <is>
          <t>CLM0146</t>
        </is>
      </c>
      <c r="B147" s="2" t="n">
        <v>45721</v>
      </c>
      <c r="C147" t="inlineStr">
        <is>
          <t>North</t>
        </is>
      </c>
      <c r="D147" t="inlineStr">
        <is>
          <t>Pharmacy</t>
        </is>
      </c>
      <c r="E147" t="inlineStr">
        <is>
          <t>Specialty</t>
        </is>
      </c>
      <c r="F147" t="inlineStr">
        <is>
          <t>Denied</t>
        </is>
      </c>
      <c r="G147" t="n">
        <v>4481.01</v>
      </c>
    </row>
    <row r="148">
      <c r="A148" t="inlineStr">
        <is>
          <t>CLM0147</t>
        </is>
      </c>
      <c r="B148" s="2" t="n">
        <v>45793</v>
      </c>
      <c r="C148" t="inlineStr">
        <is>
          <t>North</t>
        </is>
      </c>
      <c r="D148" t="inlineStr">
        <is>
          <t>Compliance</t>
        </is>
      </c>
      <c r="E148" t="inlineStr">
        <is>
          <t>Prescription</t>
        </is>
      </c>
      <c r="F148" t="inlineStr">
        <is>
          <t>Approved</t>
        </is>
      </c>
      <c r="G148" t="n">
        <v>2568.13</v>
      </c>
    </row>
    <row r="149">
      <c r="A149" t="inlineStr">
        <is>
          <t>CLM0148</t>
        </is>
      </c>
      <c r="B149" s="2" t="n">
        <v>45895</v>
      </c>
      <c r="C149" t="inlineStr">
        <is>
          <t>North</t>
        </is>
      </c>
      <c r="D149" t="inlineStr">
        <is>
          <t>Pharmacy</t>
        </is>
      </c>
      <c r="E149" t="inlineStr">
        <is>
          <t>Prescription</t>
        </is>
      </c>
      <c r="F149" t="inlineStr">
        <is>
          <t>Pending</t>
        </is>
      </c>
      <c r="G149" t="n">
        <v>1519.27</v>
      </c>
    </row>
    <row r="150">
      <c r="A150" t="inlineStr">
        <is>
          <t>CLM0149</t>
        </is>
      </c>
      <c r="B150" s="2" t="n">
        <v>45754</v>
      </c>
      <c r="C150" t="inlineStr">
        <is>
          <t>West</t>
        </is>
      </c>
      <c r="D150" t="inlineStr">
        <is>
          <t>Operations</t>
        </is>
      </c>
      <c r="E150" t="inlineStr">
        <is>
          <t>Prescription</t>
        </is>
      </c>
      <c r="F150" t="inlineStr">
        <is>
          <t>Pending</t>
        </is>
      </c>
      <c r="G150" t="n">
        <v>2779.9</v>
      </c>
    </row>
    <row r="151">
      <c r="A151" t="inlineStr">
        <is>
          <t>CLM0150</t>
        </is>
      </c>
      <c r="B151" s="2" t="n">
        <v>45819</v>
      </c>
      <c r="C151" t="inlineStr">
        <is>
          <t>East</t>
        </is>
      </c>
      <c r="D151" t="inlineStr">
        <is>
          <t>Compliance</t>
        </is>
      </c>
      <c r="E151" t="inlineStr">
        <is>
          <t>Medical Visit</t>
        </is>
      </c>
      <c r="F151" t="inlineStr">
        <is>
          <t>Approved</t>
        </is>
      </c>
      <c r="G151" t="n">
        <v>4402.07</v>
      </c>
    </row>
    <row r="152">
      <c r="A152" t="inlineStr">
        <is>
          <t>CLM0151</t>
        </is>
      </c>
      <c r="B152" s="2" t="n">
        <v>45742</v>
      </c>
      <c r="C152" t="inlineStr">
        <is>
          <t>South</t>
        </is>
      </c>
      <c r="D152" t="inlineStr">
        <is>
          <t>Compliance</t>
        </is>
      </c>
      <c r="E152" t="inlineStr">
        <is>
          <t>Specialty</t>
        </is>
      </c>
      <c r="F152" t="inlineStr">
        <is>
          <t>Denied</t>
        </is>
      </c>
      <c r="G152" t="n">
        <v>2284.06</v>
      </c>
    </row>
    <row r="153">
      <c r="A153" t="inlineStr">
        <is>
          <t>CLM0152</t>
        </is>
      </c>
      <c r="B153" s="2" t="n">
        <v>45868</v>
      </c>
      <c r="C153" t="inlineStr">
        <is>
          <t>North</t>
        </is>
      </c>
      <c r="D153" t="inlineStr">
        <is>
          <t>Compliance</t>
        </is>
      </c>
      <c r="E153" t="inlineStr">
        <is>
          <t>Lab</t>
        </is>
      </c>
      <c r="F153" t="inlineStr">
        <is>
          <t>Approved</t>
        </is>
      </c>
      <c r="G153" t="n">
        <v>4143.78</v>
      </c>
    </row>
    <row r="154">
      <c r="A154" t="inlineStr">
        <is>
          <t>CLM0153</t>
        </is>
      </c>
      <c r="B154" s="2" t="n">
        <v>45858</v>
      </c>
      <c r="C154" t="inlineStr">
        <is>
          <t>South</t>
        </is>
      </c>
      <c r="D154" t="inlineStr">
        <is>
          <t>Pharmacy</t>
        </is>
      </c>
      <c r="E154" t="inlineStr">
        <is>
          <t>Prescription</t>
        </is>
      </c>
      <c r="F154" t="inlineStr">
        <is>
          <t>Approved</t>
        </is>
      </c>
      <c r="G154" t="n">
        <v>1632.23</v>
      </c>
    </row>
    <row r="155">
      <c r="A155" t="inlineStr">
        <is>
          <t>CLM0154</t>
        </is>
      </c>
      <c r="B155" s="2" t="n">
        <v>45907</v>
      </c>
      <c r="C155" t="inlineStr">
        <is>
          <t>North</t>
        </is>
      </c>
      <c r="D155" t="inlineStr">
        <is>
          <t>Compliance</t>
        </is>
      </c>
      <c r="E155" t="inlineStr">
        <is>
          <t>Specialty</t>
        </is>
      </c>
      <c r="F155" t="inlineStr">
        <is>
          <t>Pending</t>
        </is>
      </c>
      <c r="G155" t="n">
        <v>3047.66</v>
      </c>
    </row>
    <row r="156">
      <c r="A156" t="inlineStr">
        <is>
          <t>CLM0155</t>
        </is>
      </c>
      <c r="B156" s="2" t="n">
        <v>45708</v>
      </c>
      <c r="C156" t="inlineStr">
        <is>
          <t>East</t>
        </is>
      </c>
      <c r="D156" t="inlineStr">
        <is>
          <t>Compliance</t>
        </is>
      </c>
      <c r="E156" t="inlineStr">
        <is>
          <t>Medical Visit</t>
        </is>
      </c>
      <c r="F156" t="inlineStr">
        <is>
          <t>Denied</t>
        </is>
      </c>
      <c r="G156" t="n">
        <v>3695.32</v>
      </c>
    </row>
    <row r="157">
      <c r="A157" t="inlineStr">
        <is>
          <t>CLM0156</t>
        </is>
      </c>
      <c r="B157" s="2" t="n">
        <v>46022</v>
      </c>
      <c r="C157" t="inlineStr">
        <is>
          <t>South</t>
        </is>
      </c>
      <c r="D157" t="inlineStr">
        <is>
          <t>Operations</t>
        </is>
      </c>
      <c r="E157" t="inlineStr">
        <is>
          <t>Specialty</t>
        </is>
      </c>
      <c r="F157" t="inlineStr">
        <is>
          <t>Approved</t>
        </is>
      </c>
      <c r="G157" t="n">
        <v>3257.34</v>
      </c>
    </row>
    <row r="158">
      <c r="A158" t="inlineStr">
        <is>
          <t>CLM0157</t>
        </is>
      </c>
      <c r="B158" s="2" t="n">
        <v>45999</v>
      </c>
      <c r="C158" t="inlineStr">
        <is>
          <t>North</t>
        </is>
      </c>
      <c r="D158" t="inlineStr">
        <is>
          <t>Compliance</t>
        </is>
      </c>
      <c r="E158" t="inlineStr">
        <is>
          <t>Medical Visit</t>
        </is>
      </c>
      <c r="F158" t="inlineStr">
        <is>
          <t>Pending</t>
        </is>
      </c>
      <c r="G158" t="n">
        <v>2909.39</v>
      </c>
    </row>
    <row r="159">
      <c r="A159" t="inlineStr">
        <is>
          <t>CLM0158</t>
        </is>
      </c>
      <c r="B159" s="2" t="n">
        <v>45879</v>
      </c>
      <c r="C159" t="inlineStr">
        <is>
          <t>South</t>
        </is>
      </c>
      <c r="D159" t="inlineStr">
        <is>
          <t>Medical</t>
        </is>
      </c>
      <c r="E159" t="inlineStr">
        <is>
          <t>Medical Visit</t>
        </is>
      </c>
      <c r="F159" t="inlineStr">
        <is>
          <t>Pending</t>
        </is>
      </c>
      <c r="G159" t="n">
        <v>1626.79</v>
      </c>
    </row>
    <row r="160">
      <c r="A160" t="inlineStr">
        <is>
          <t>CLM0159</t>
        </is>
      </c>
      <c r="B160" s="2" t="n">
        <v>45871</v>
      </c>
      <c r="C160" t="inlineStr">
        <is>
          <t>South</t>
        </is>
      </c>
      <c r="D160" t="inlineStr">
        <is>
          <t>Compliance</t>
        </is>
      </c>
      <c r="E160" t="inlineStr">
        <is>
          <t>Medical Visit</t>
        </is>
      </c>
      <c r="F160" t="inlineStr">
        <is>
          <t>Denied</t>
        </is>
      </c>
      <c r="G160" t="n">
        <v>3820.17</v>
      </c>
    </row>
    <row r="161">
      <c r="A161" t="inlineStr">
        <is>
          <t>CLM0160</t>
        </is>
      </c>
      <c r="B161" s="2" t="n">
        <v>45815</v>
      </c>
      <c r="C161" t="inlineStr">
        <is>
          <t>North</t>
        </is>
      </c>
      <c r="D161" t="inlineStr">
        <is>
          <t>Compliance</t>
        </is>
      </c>
      <c r="E161" t="inlineStr">
        <is>
          <t>Lab</t>
        </is>
      </c>
      <c r="F161" t="inlineStr">
        <is>
          <t>Pending</t>
        </is>
      </c>
      <c r="G161" t="n">
        <v>3775.21</v>
      </c>
    </row>
    <row r="162">
      <c r="A162" t="inlineStr">
        <is>
          <t>CLM0161</t>
        </is>
      </c>
      <c r="B162" s="2" t="n">
        <v>45687</v>
      </c>
      <c r="C162" t="inlineStr">
        <is>
          <t>North</t>
        </is>
      </c>
      <c r="D162" t="inlineStr">
        <is>
          <t>Compliance</t>
        </is>
      </c>
      <c r="E162" t="inlineStr">
        <is>
          <t>Lab</t>
        </is>
      </c>
      <c r="F162" t="inlineStr">
        <is>
          <t>Denied</t>
        </is>
      </c>
      <c r="G162" t="n">
        <v>4414.74</v>
      </c>
    </row>
    <row r="163">
      <c r="A163" t="inlineStr">
        <is>
          <t>CLM0162</t>
        </is>
      </c>
      <c r="B163" s="2" t="n">
        <v>45954</v>
      </c>
      <c r="C163" t="inlineStr">
        <is>
          <t>North</t>
        </is>
      </c>
      <c r="D163" t="inlineStr">
        <is>
          <t>Compliance</t>
        </is>
      </c>
      <c r="E163" t="inlineStr">
        <is>
          <t>Specialty</t>
        </is>
      </c>
      <c r="F163" t="inlineStr">
        <is>
          <t>Denied</t>
        </is>
      </c>
      <c r="G163" t="n">
        <v>1978.54</v>
      </c>
    </row>
    <row r="164">
      <c r="A164" t="inlineStr">
        <is>
          <t>CLM0163</t>
        </is>
      </c>
      <c r="B164" s="2" t="n">
        <v>45775</v>
      </c>
      <c r="C164" t="inlineStr">
        <is>
          <t>North</t>
        </is>
      </c>
      <c r="D164" t="inlineStr">
        <is>
          <t>Compliance</t>
        </is>
      </c>
      <c r="E164" t="inlineStr">
        <is>
          <t>Specialty</t>
        </is>
      </c>
      <c r="F164" t="inlineStr">
        <is>
          <t>Denied</t>
        </is>
      </c>
      <c r="G164" t="n">
        <v>201.5</v>
      </c>
    </row>
    <row r="165">
      <c r="A165" t="inlineStr">
        <is>
          <t>CLM0164</t>
        </is>
      </c>
      <c r="B165" s="2" t="n">
        <v>45983</v>
      </c>
      <c r="C165" t="inlineStr">
        <is>
          <t>West</t>
        </is>
      </c>
      <c r="D165" t="inlineStr">
        <is>
          <t>Medical</t>
        </is>
      </c>
      <c r="E165" t="inlineStr">
        <is>
          <t>Prescription</t>
        </is>
      </c>
      <c r="F165" t="inlineStr">
        <is>
          <t>Denied</t>
        </is>
      </c>
      <c r="G165" t="n">
        <v>4867.88</v>
      </c>
    </row>
    <row r="166">
      <c r="A166" t="inlineStr">
        <is>
          <t>CLM0165</t>
        </is>
      </c>
      <c r="B166" s="2" t="n">
        <v>45918</v>
      </c>
      <c r="C166" t="inlineStr">
        <is>
          <t>North</t>
        </is>
      </c>
      <c r="D166" t="inlineStr">
        <is>
          <t>Medical</t>
        </is>
      </c>
      <c r="E166" t="inlineStr">
        <is>
          <t>Lab</t>
        </is>
      </c>
      <c r="F166" t="inlineStr">
        <is>
          <t>Pending</t>
        </is>
      </c>
      <c r="G166" t="n">
        <v>2410.28</v>
      </c>
    </row>
    <row r="167">
      <c r="A167" t="inlineStr">
        <is>
          <t>CLM0166</t>
        </is>
      </c>
      <c r="B167" s="2" t="n">
        <v>45784</v>
      </c>
      <c r="C167" t="inlineStr">
        <is>
          <t>South</t>
        </is>
      </c>
      <c r="D167" t="inlineStr">
        <is>
          <t>Pharmacy</t>
        </is>
      </c>
      <c r="E167" t="inlineStr">
        <is>
          <t>Medical Visit</t>
        </is>
      </c>
      <c r="F167" t="inlineStr">
        <is>
          <t>Approved</t>
        </is>
      </c>
      <c r="G167" t="n">
        <v>794.65</v>
      </c>
    </row>
    <row r="168">
      <c r="A168" t="inlineStr">
        <is>
          <t>CLM0167</t>
        </is>
      </c>
      <c r="B168" s="2" t="n">
        <v>45971</v>
      </c>
      <c r="C168" t="inlineStr">
        <is>
          <t>East</t>
        </is>
      </c>
      <c r="D168" t="inlineStr">
        <is>
          <t>Operations</t>
        </is>
      </c>
      <c r="E168" t="inlineStr">
        <is>
          <t>Medical Visit</t>
        </is>
      </c>
      <c r="F168" t="inlineStr">
        <is>
          <t>Denied</t>
        </is>
      </c>
      <c r="G168" t="n">
        <v>1787.18</v>
      </c>
    </row>
    <row r="169">
      <c r="A169" t="inlineStr">
        <is>
          <t>CLM0168</t>
        </is>
      </c>
      <c r="B169" s="2" t="n">
        <v>45769</v>
      </c>
      <c r="C169" t="inlineStr">
        <is>
          <t>East</t>
        </is>
      </c>
      <c r="D169" t="inlineStr">
        <is>
          <t>Operations</t>
        </is>
      </c>
      <c r="E169" t="inlineStr">
        <is>
          <t>Medical Visit</t>
        </is>
      </c>
      <c r="F169" t="inlineStr">
        <is>
          <t>Denied</t>
        </is>
      </c>
      <c r="G169" t="n">
        <v>1914.35</v>
      </c>
    </row>
    <row r="170">
      <c r="A170" t="inlineStr">
        <is>
          <t>CLM0169</t>
        </is>
      </c>
      <c r="B170" s="2" t="n">
        <v>45661</v>
      </c>
      <c r="C170" t="inlineStr">
        <is>
          <t>North</t>
        </is>
      </c>
      <c r="D170" t="inlineStr">
        <is>
          <t>Pharmacy</t>
        </is>
      </c>
      <c r="E170" t="inlineStr">
        <is>
          <t>Specialty</t>
        </is>
      </c>
      <c r="F170" t="inlineStr">
        <is>
          <t>Denied</t>
        </is>
      </c>
      <c r="G170" t="n">
        <v>120.81</v>
      </c>
    </row>
    <row r="171">
      <c r="A171" t="inlineStr">
        <is>
          <t>CLM0170</t>
        </is>
      </c>
      <c r="B171" s="2" t="n">
        <v>45752</v>
      </c>
      <c r="C171" t="inlineStr">
        <is>
          <t>South</t>
        </is>
      </c>
      <c r="D171" t="inlineStr">
        <is>
          <t>Compliance</t>
        </is>
      </c>
      <c r="E171" t="inlineStr">
        <is>
          <t>Medical Visit</t>
        </is>
      </c>
      <c r="F171" t="inlineStr">
        <is>
          <t>Denied</t>
        </is>
      </c>
      <c r="G171" t="n">
        <v>2517.58</v>
      </c>
    </row>
    <row r="172">
      <c r="A172" t="inlineStr">
        <is>
          <t>CLM0171</t>
        </is>
      </c>
      <c r="B172" s="2" t="n">
        <v>45883</v>
      </c>
      <c r="C172" t="inlineStr">
        <is>
          <t>North</t>
        </is>
      </c>
      <c r="D172" t="inlineStr">
        <is>
          <t>Medical</t>
        </is>
      </c>
      <c r="E172" t="inlineStr">
        <is>
          <t>Lab</t>
        </is>
      </c>
      <c r="F172" t="inlineStr">
        <is>
          <t>Denied</t>
        </is>
      </c>
      <c r="G172" t="n">
        <v>2044.16</v>
      </c>
    </row>
    <row r="173">
      <c r="A173" t="inlineStr">
        <is>
          <t>CLM0172</t>
        </is>
      </c>
      <c r="B173" s="2" t="n">
        <v>45913</v>
      </c>
      <c r="C173" t="inlineStr">
        <is>
          <t>East</t>
        </is>
      </c>
      <c r="D173" t="inlineStr">
        <is>
          <t>Pharmacy</t>
        </is>
      </c>
      <c r="E173" t="inlineStr">
        <is>
          <t>Medical Visit</t>
        </is>
      </c>
      <c r="F173" t="inlineStr">
        <is>
          <t>Approved</t>
        </is>
      </c>
      <c r="G173" t="n">
        <v>3024.44</v>
      </c>
    </row>
    <row r="174">
      <c r="A174" t="inlineStr">
        <is>
          <t>CLM0173</t>
        </is>
      </c>
      <c r="B174" s="2" t="n">
        <v>45790</v>
      </c>
      <c r="C174" t="inlineStr">
        <is>
          <t>North</t>
        </is>
      </c>
      <c r="D174" t="inlineStr">
        <is>
          <t>Operations</t>
        </is>
      </c>
      <c r="E174" t="inlineStr">
        <is>
          <t>Lab</t>
        </is>
      </c>
      <c r="F174" t="inlineStr">
        <is>
          <t>Pending</t>
        </is>
      </c>
      <c r="G174" t="n">
        <v>2655.1</v>
      </c>
    </row>
    <row r="175">
      <c r="A175" t="inlineStr">
        <is>
          <t>CLM0174</t>
        </is>
      </c>
      <c r="B175" s="2" t="n">
        <v>45994</v>
      </c>
      <c r="C175" t="inlineStr">
        <is>
          <t>North</t>
        </is>
      </c>
      <c r="D175" t="inlineStr">
        <is>
          <t>Operations</t>
        </is>
      </c>
      <c r="E175" t="inlineStr">
        <is>
          <t>Specialty</t>
        </is>
      </c>
      <c r="F175" t="inlineStr">
        <is>
          <t>Pending</t>
        </is>
      </c>
      <c r="G175" t="n">
        <v>1893.43</v>
      </c>
    </row>
    <row r="176">
      <c r="A176" t="inlineStr">
        <is>
          <t>CLM0175</t>
        </is>
      </c>
      <c r="B176" s="2" t="n">
        <v>45697</v>
      </c>
      <c r="C176" t="inlineStr">
        <is>
          <t>West</t>
        </is>
      </c>
      <c r="D176" t="inlineStr">
        <is>
          <t>Pharmacy</t>
        </is>
      </c>
      <c r="E176" t="inlineStr">
        <is>
          <t>Lab</t>
        </is>
      </c>
      <c r="F176" t="inlineStr">
        <is>
          <t>Approved</t>
        </is>
      </c>
      <c r="G176" t="n">
        <v>4732.58</v>
      </c>
    </row>
    <row r="177">
      <c r="A177" t="inlineStr">
        <is>
          <t>CLM0176</t>
        </is>
      </c>
      <c r="B177" s="2" t="n">
        <v>45998</v>
      </c>
      <c r="C177" t="inlineStr">
        <is>
          <t>North</t>
        </is>
      </c>
      <c r="D177" t="inlineStr">
        <is>
          <t>Pharmacy</t>
        </is>
      </c>
      <c r="E177" t="inlineStr">
        <is>
          <t>Lab</t>
        </is>
      </c>
      <c r="F177" t="inlineStr">
        <is>
          <t>Approved</t>
        </is>
      </c>
      <c r="G177" t="n">
        <v>2901.11</v>
      </c>
    </row>
    <row r="178">
      <c r="A178" t="inlineStr">
        <is>
          <t>CLM0177</t>
        </is>
      </c>
      <c r="B178" s="2" t="n">
        <v>45993</v>
      </c>
      <c r="C178" t="inlineStr">
        <is>
          <t>South</t>
        </is>
      </c>
      <c r="D178" t="inlineStr">
        <is>
          <t>Pharmacy</t>
        </is>
      </c>
      <c r="E178" t="inlineStr">
        <is>
          <t>Specialty</t>
        </is>
      </c>
      <c r="F178" t="inlineStr">
        <is>
          <t>Pending</t>
        </is>
      </c>
      <c r="G178" t="n">
        <v>2659.32</v>
      </c>
    </row>
    <row r="179">
      <c r="A179" t="inlineStr">
        <is>
          <t>CLM0178</t>
        </is>
      </c>
      <c r="B179" s="2" t="n">
        <v>45755</v>
      </c>
      <c r="C179" t="inlineStr">
        <is>
          <t>South</t>
        </is>
      </c>
      <c r="D179" t="inlineStr">
        <is>
          <t>Operations</t>
        </is>
      </c>
      <c r="E179" t="inlineStr">
        <is>
          <t>Medical Visit</t>
        </is>
      </c>
      <c r="F179" t="inlineStr">
        <is>
          <t>Denied</t>
        </is>
      </c>
      <c r="G179" t="n">
        <v>578.5599999999999</v>
      </c>
    </row>
    <row r="180">
      <c r="A180" t="inlineStr">
        <is>
          <t>CLM0179</t>
        </is>
      </c>
      <c r="B180" s="2" t="n">
        <v>45982</v>
      </c>
      <c r="C180" t="inlineStr">
        <is>
          <t>South</t>
        </is>
      </c>
      <c r="D180" t="inlineStr">
        <is>
          <t>Operations</t>
        </is>
      </c>
      <c r="E180" t="inlineStr">
        <is>
          <t>Lab</t>
        </is>
      </c>
      <c r="F180" t="inlineStr">
        <is>
          <t>Approved</t>
        </is>
      </c>
      <c r="G180" t="n">
        <v>3666.02</v>
      </c>
    </row>
    <row r="181">
      <c r="A181" t="inlineStr">
        <is>
          <t>CLM0180</t>
        </is>
      </c>
      <c r="B181" s="2" t="n">
        <v>45683</v>
      </c>
      <c r="C181" t="inlineStr">
        <is>
          <t>West</t>
        </is>
      </c>
      <c r="D181" t="inlineStr">
        <is>
          <t>Compliance</t>
        </is>
      </c>
      <c r="E181" t="inlineStr">
        <is>
          <t>Medical Visit</t>
        </is>
      </c>
      <c r="F181" t="inlineStr">
        <is>
          <t>Approved</t>
        </is>
      </c>
      <c r="G181" t="n">
        <v>4424.73</v>
      </c>
    </row>
    <row r="182">
      <c r="A182" t="inlineStr">
        <is>
          <t>CLM0181</t>
        </is>
      </c>
      <c r="B182" s="2" t="n">
        <v>45704</v>
      </c>
      <c r="C182" t="inlineStr">
        <is>
          <t>South</t>
        </is>
      </c>
      <c r="D182" t="inlineStr">
        <is>
          <t>Operations</t>
        </is>
      </c>
      <c r="E182" t="inlineStr">
        <is>
          <t>Lab</t>
        </is>
      </c>
      <c r="F182" t="inlineStr">
        <is>
          <t>Denied</t>
        </is>
      </c>
      <c r="G182" t="n">
        <v>4950.4</v>
      </c>
    </row>
    <row r="183">
      <c r="A183" t="inlineStr">
        <is>
          <t>CLM0182</t>
        </is>
      </c>
      <c r="B183" s="2" t="n">
        <v>46017</v>
      </c>
      <c r="C183" t="inlineStr">
        <is>
          <t>South</t>
        </is>
      </c>
      <c r="D183" t="inlineStr">
        <is>
          <t>Operations</t>
        </is>
      </c>
      <c r="E183" t="inlineStr">
        <is>
          <t>Prescription</t>
        </is>
      </c>
      <c r="F183" t="inlineStr">
        <is>
          <t>Approved</t>
        </is>
      </c>
      <c r="G183" t="n">
        <v>4832.7</v>
      </c>
    </row>
    <row r="184">
      <c r="A184" t="inlineStr">
        <is>
          <t>CLM0183</t>
        </is>
      </c>
      <c r="B184" s="2" t="n">
        <v>45832</v>
      </c>
      <c r="C184" t="inlineStr">
        <is>
          <t>East</t>
        </is>
      </c>
      <c r="D184" t="inlineStr">
        <is>
          <t>Pharmacy</t>
        </is>
      </c>
      <c r="E184" t="inlineStr">
        <is>
          <t>Prescription</t>
        </is>
      </c>
      <c r="F184" t="inlineStr">
        <is>
          <t>Pending</t>
        </is>
      </c>
      <c r="G184" t="n">
        <v>4423.95</v>
      </c>
    </row>
    <row r="185">
      <c r="A185" t="inlineStr">
        <is>
          <t>CLM0184</t>
        </is>
      </c>
      <c r="B185" s="2" t="n">
        <v>45705</v>
      </c>
      <c r="C185" t="inlineStr">
        <is>
          <t>South</t>
        </is>
      </c>
      <c r="D185" t="inlineStr">
        <is>
          <t>Compliance</t>
        </is>
      </c>
      <c r="E185" t="inlineStr">
        <is>
          <t>Specialty</t>
        </is>
      </c>
      <c r="F185" t="inlineStr">
        <is>
          <t>Approved</t>
        </is>
      </c>
      <c r="G185" t="n">
        <v>3108.28</v>
      </c>
    </row>
    <row r="186">
      <c r="A186" t="inlineStr">
        <is>
          <t>CLM0185</t>
        </is>
      </c>
      <c r="B186" s="2" t="n">
        <v>45751</v>
      </c>
      <c r="C186" t="inlineStr">
        <is>
          <t>East</t>
        </is>
      </c>
      <c r="D186" t="inlineStr">
        <is>
          <t>Pharmacy</t>
        </is>
      </c>
      <c r="E186" t="inlineStr">
        <is>
          <t>Specialty</t>
        </is>
      </c>
      <c r="F186" t="inlineStr">
        <is>
          <t>Denied</t>
        </is>
      </c>
      <c r="G186" t="n">
        <v>3256.19</v>
      </c>
    </row>
    <row r="187">
      <c r="A187" t="inlineStr">
        <is>
          <t>CLM0186</t>
        </is>
      </c>
      <c r="B187" s="2" t="n">
        <v>45846</v>
      </c>
      <c r="C187" t="inlineStr">
        <is>
          <t>South</t>
        </is>
      </c>
      <c r="D187" t="inlineStr">
        <is>
          <t>Compliance</t>
        </is>
      </c>
      <c r="E187" t="inlineStr">
        <is>
          <t>Prescription</t>
        </is>
      </c>
      <c r="F187" t="inlineStr">
        <is>
          <t>Pending</t>
        </is>
      </c>
      <c r="G187" t="n">
        <v>3384.19</v>
      </c>
    </row>
    <row r="188">
      <c r="A188" t="inlineStr">
        <is>
          <t>CLM0187</t>
        </is>
      </c>
      <c r="B188" s="2" t="n">
        <v>45886</v>
      </c>
      <c r="C188" t="inlineStr">
        <is>
          <t>West</t>
        </is>
      </c>
      <c r="D188" t="inlineStr">
        <is>
          <t>Operations</t>
        </is>
      </c>
      <c r="E188" t="inlineStr">
        <is>
          <t>Medical Visit</t>
        </is>
      </c>
      <c r="F188" t="inlineStr">
        <is>
          <t>Denied</t>
        </is>
      </c>
      <c r="G188" t="n">
        <v>4255.27</v>
      </c>
    </row>
    <row r="189">
      <c r="A189" t="inlineStr">
        <is>
          <t>CLM0188</t>
        </is>
      </c>
      <c r="B189" s="2" t="n">
        <v>45859</v>
      </c>
      <c r="C189" t="inlineStr">
        <is>
          <t>South</t>
        </is>
      </c>
      <c r="D189" t="inlineStr">
        <is>
          <t>Pharmacy</t>
        </is>
      </c>
      <c r="E189" t="inlineStr">
        <is>
          <t>Specialty</t>
        </is>
      </c>
      <c r="F189" t="inlineStr">
        <is>
          <t>Pending</t>
        </is>
      </c>
      <c r="G189" t="n">
        <v>458.99</v>
      </c>
    </row>
    <row r="190">
      <c r="A190" t="inlineStr">
        <is>
          <t>CLM0189</t>
        </is>
      </c>
      <c r="B190" s="2" t="n">
        <v>45866</v>
      </c>
      <c r="C190" t="inlineStr">
        <is>
          <t>West</t>
        </is>
      </c>
      <c r="D190" t="inlineStr">
        <is>
          <t>Medical</t>
        </is>
      </c>
      <c r="E190" t="inlineStr">
        <is>
          <t>Medical Visit</t>
        </is>
      </c>
      <c r="F190" t="inlineStr">
        <is>
          <t>Denied</t>
        </is>
      </c>
      <c r="G190" t="n">
        <v>132.2</v>
      </c>
    </row>
    <row r="191">
      <c r="A191" t="inlineStr">
        <is>
          <t>CLM0190</t>
        </is>
      </c>
      <c r="B191" s="2" t="n">
        <v>45899</v>
      </c>
      <c r="C191" t="inlineStr">
        <is>
          <t>North</t>
        </is>
      </c>
      <c r="D191" t="inlineStr">
        <is>
          <t>Compliance</t>
        </is>
      </c>
      <c r="E191" t="inlineStr">
        <is>
          <t>Medical Visit</t>
        </is>
      </c>
      <c r="F191" t="inlineStr">
        <is>
          <t>Approved</t>
        </is>
      </c>
      <c r="G191" t="n">
        <v>297.26</v>
      </c>
    </row>
    <row r="192">
      <c r="A192" t="inlineStr">
        <is>
          <t>CLM0191</t>
        </is>
      </c>
      <c r="B192" s="2" t="n">
        <v>45877</v>
      </c>
      <c r="C192" t="inlineStr">
        <is>
          <t>East</t>
        </is>
      </c>
      <c r="D192" t="inlineStr">
        <is>
          <t>Medical</t>
        </is>
      </c>
      <c r="E192" t="inlineStr">
        <is>
          <t>Lab</t>
        </is>
      </c>
      <c r="F192" t="inlineStr">
        <is>
          <t>Denied</t>
        </is>
      </c>
      <c r="G192" t="n">
        <v>3550.2</v>
      </c>
    </row>
    <row r="193">
      <c r="A193" t="inlineStr">
        <is>
          <t>CLM0192</t>
        </is>
      </c>
      <c r="B193" s="2" t="n">
        <v>45685</v>
      </c>
      <c r="C193" t="inlineStr">
        <is>
          <t>North</t>
        </is>
      </c>
      <c r="D193" t="inlineStr">
        <is>
          <t>Compliance</t>
        </is>
      </c>
      <c r="E193" t="inlineStr">
        <is>
          <t>Medical Visit</t>
        </is>
      </c>
      <c r="F193" t="inlineStr">
        <is>
          <t>Approved</t>
        </is>
      </c>
      <c r="G193" t="n">
        <v>342.47</v>
      </c>
    </row>
    <row r="194">
      <c r="A194" t="inlineStr">
        <is>
          <t>CLM0193</t>
        </is>
      </c>
      <c r="B194" s="2" t="n">
        <v>45675</v>
      </c>
      <c r="C194" t="inlineStr">
        <is>
          <t>North</t>
        </is>
      </c>
      <c r="D194" t="inlineStr">
        <is>
          <t>Pharmacy</t>
        </is>
      </c>
      <c r="E194" t="inlineStr">
        <is>
          <t>Medical Visit</t>
        </is>
      </c>
      <c r="F194" t="inlineStr">
        <is>
          <t>Approved</t>
        </is>
      </c>
      <c r="G194" t="n">
        <v>4104.14</v>
      </c>
    </row>
    <row r="195">
      <c r="A195" t="inlineStr">
        <is>
          <t>CLM0194</t>
        </is>
      </c>
      <c r="B195" s="2" t="n">
        <v>46011</v>
      </c>
      <c r="C195" t="inlineStr">
        <is>
          <t>East</t>
        </is>
      </c>
      <c r="D195" t="inlineStr">
        <is>
          <t>Pharmacy</t>
        </is>
      </c>
      <c r="E195" t="inlineStr">
        <is>
          <t>Lab</t>
        </is>
      </c>
      <c r="F195" t="inlineStr">
        <is>
          <t>Denied</t>
        </is>
      </c>
      <c r="G195" t="n">
        <v>3891.72</v>
      </c>
    </row>
    <row r="196">
      <c r="A196" t="inlineStr">
        <is>
          <t>CLM0195</t>
        </is>
      </c>
      <c r="B196" s="2" t="n">
        <v>45865</v>
      </c>
      <c r="C196" t="inlineStr">
        <is>
          <t>East</t>
        </is>
      </c>
      <c r="D196" t="inlineStr">
        <is>
          <t>Medical</t>
        </is>
      </c>
      <c r="E196" t="inlineStr">
        <is>
          <t>Lab</t>
        </is>
      </c>
      <c r="F196" t="inlineStr">
        <is>
          <t>Pending</t>
        </is>
      </c>
      <c r="G196" t="n">
        <v>4547.52</v>
      </c>
    </row>
    <row r="197">
      <c r="A197" t="inlineStr">
        <is>
          <t>CLM0196</t>
        </is>
      </c>
      <c r="B197" s="2" t="n">
        <v>45820</v>
      </c>
      <c r="C197" t="inlineStr">
        <is>
          <t>North</t>
        </is>
      </c>
      <c r="D197" t="inlineStr">
        <is>
          <t>Pharmacy</t>
        </is>
      </c>
      <c r="E197" t="inlineStr">
        <is>
          <t>Lab</t>
        </is>
      </c>
      <c r="F197" t="inlineStr">
        <is>
          <t>Approved</t>
        </is>
      </c>
      <c r="G197" t="n">
        <v>4699.52</v>
      </c>
    </row>
    <row r="198">
      <c r="A198" t="inlineStr">
        <is>
          <t>CLM0197</t>
        </is>
      </c>
      <c r="B198" s="2" t="n">
        <v>45718</v>
      </c>
      <c r="C198" t="inlineStr">
        <is>
          <t>East</t>
        </is>
      </c>
      <c r="D198" t="inlineStr">
        <is>
          <t>Compliance</t>
        </is>
      </c>
      <c r="E198" t="inlineStr">
        <is>
          <t>Specialty</t>
        </is>
      </c>
      <c r="F198" t="inlineStr">
        <is>
          <t>Pending</t>
        </is>
      </c>
      <c r="G198" t="n">
        <v>2930.33</v>
      </c>
    </row>
    <row r="199">
      <c r="A199" t="inlineStr">
        <is>
          <t>CLM0198</t>
        </is>
      </c>
      <c r="B199" s="2" t="n">
        <v>45875</v>
      </c>
      <c r="C199" t="inlineStr">
        <is>
          <t>East</t>
        </is>
      </c>
      <c r="D199" t="inlineStr">
        <is>
          <t>Compliance</t>
        </is>
      </c>
      <c r="E199" t="inlineStr">
        <is>
          <t>Lab</t>
        </is>
      </c>
      <c r="F199" t="inlineStr">
        <is>
          <t>Approved</t>
        </is>
      </c>
      <c r="G199" t="n">
        <v>3800.13</v>
      </c>
    </row>
    <row r="200">
      <c r="A200" t="inlineStr">
        <is>
          <t>CLM0199</t>
        </is>
      </c>
      <c r="B200" s="2" t="n">
        <v>45682</v>
      </c>
      <c r="C200" t="inlineStr">
        <is>
          <t>East</t>
        </is>
      </c>
      <c r="D200" t="inlineStr">
        <is>
          <t>Pharmacy</t>
        </is>
      </c>
      <c r="E200" t="inlineStr">
        <is>
          <t>Medical Visit</t>
        </is>
      </c>
      <c r="F200" t="inlineStr">
        <is>
          <t>Approved</t>
        </is>
      </c>
      <c r="G200" t="n">
        <v>517.54</v>
      </c>
    </row>
    <row r="201">
      <c r="A201" t="inlineStr">
        <is>
          <t>CLM0200</t>
        </is>
      </c>
      <c r="B201" s="2" t="n">
        <v>45841</v>
      </c>
      <c r="C201" t="inlineStr">
        <is>
          <t>North</t>
        </is>
      </c>
      <c r="D201" t="inlineStr">
        <is>
          <t>Operations</t>
        </is>
      </c>
      <c r="E201" t="inlineStr">
        <is>
          <t>Specialty</t>
        </is>
      </c>
      <c r="F201" t="inlineStr">
        <is>
          <t>Denied</t>
        </is>
      </c>
      <c r="G201" t="n">
        <v>3788.79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D1" s="1" t="inlineStr">
        <is>
          <t>Region</t>
        </is>
      </c>
      <c r="E1" s="1" t="inlineStr">
        <is>
          <t>Total Claim Amount</t>
        </is>
      </c>
    </row>
    <row r="2">
      <c r="A2" t="inlineStr">
        <is>
          <t>Total Claims</t>
        </is>
      </c>
      <c r="B2">
        <f>COUNTA(Raw_Data!A2:A201)</f>
        <v/>
      </c>
      <c r="D2" t="inlineStr">
        <is>
          <t>North</t>
        </is>
      </c>
      <c r="E2">
        <f>SUMIF(Raw_Data!C2:C201,"North",Raw_Data!G2:G201)</f>
        <v/>
      </c>
    </row>
    <row r="3">
      <c r="A3" t="inlineStr">
        <is>
          <t>Total Claim Amount</t>
        </is>
      </c>
      <c r="B3">
        <f>SUM(Raw_Data!G2:G201)</f>
        <v/>
      </c>
      <c r="D3" t="inlineStr">
        <is>
          <t>South</t>
        </is>
      </c>
      <c r="E3">
        <f>SUMIF(Raw_Data!C2:C201,"South",Raw_Data!G2:G201)</f>
        <v/>
      </c>
    </row>
    <row r="4">
      <c r="A4" t="inlineStr">
        <is>
          <t>Average Claim Amount</t>
        </is>
      </c>
      <c r="B4">
        <f>AVERAGE(Raw_Data!G2:G201)</f>
        <v/>
      </c>
      <c r="D4" t="inlineStr">
        <is>
          <t>East</t>
        </is>
      </c>
      <c r="E4">
        <f>SUMIF(Raw_Data!C2:C201,"East",Raw_Data!G2:G201)</f>
        <v/>
      </c>
    </row>
    <row r="5">
      <c r="A5" t="inlineStr">
        <is>
          <t>Approved Claims</t>
        </is>
      </c>
      <c r="B5">
        <f>COUNTIF(Raw_Data!F2:F201,"Approved")</f>
        <v/>
      </c>
      <c r="D5" t="inlineStr">
        <is>
          <t>West</t>
        </is>
      </c>
      <c r="E5">
        <f>SUMIF(Raw_Data!C2:C201,"West",Raw_Data!G2:G201)</f>
        <v/>
      </c>
    </row>
    <row r="6">
      <c r="A6" t="inlineStr">
        <is>
          <t>Denied Claims</t>
        </is>
      </c>
      <c r="B6">
        <f>COUNTIF(Raw_Data!F2:F201,"Denied")</f>
        <v/>
      </c>
    </row>
    <row r="7">
      <c r="A7" t="inlineStr">
        <is>
          <t>Pending Claims</t>
        </is>
      </c>
      <c r="B7">
        <f>COUNTIF(Raw_Data!F2:F201,"Pending")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Healthcare Claims Dashboard</t>
        </is>
      </c>
    </row>
    <row r="3">
      <c r="A3" s="1" t="inlineStr">
        <is>
          <t>Total Claims</t>
        </is>
      </c>
      <c r="B3">
        <f>Analysis!B2</f>
        <v/>
      </c>
    </row>
    <row r="4">
      <c r="A4" s="1" t="inlineStr">
        <is>
          <t>Total Claim Amount</t>
        </is>
      </c>
      <c r="B4">
        <f>Analysis!B3</f>
        <v/>
      </c>
    </row>
    <row r="5">
      <c r="A5" s="1" t="inlineStr">
        <is>
          <t>Average Claim Amount</t>
        </is>
      </c>
      <c r="B5">
        <f>Analysis!B4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Beginner Data Analysis Excel Project</t>
        </is>
      </c>
    </row>
    <row r="2">
      <c r="A2" t="inlineStr"/>
    </row>
    <row r="3">
      <c r="A3" t="inlineStr">
        <is>
          <t>This workbook includes:</t>
        </is>
      </c>
    </row>
    <row r="4">
      <c r="A4" t="inlineStr">
        <is>
          <t>- Raw healthcare claims data</t>
        </is>
      </c>
    </row>
    <row r="5">
      <c r="A5" t="inlineStr">
        <is>
          <t>- Analysis formulas</t>
        </is>
      </c>
    </row>
    <row r="6">
      <c r="A6" t="inlineStr">
        <is>
          <t>- Charts and dashboard metrics</t>
        </is>
      </c>
    </row>
    <row r="7">
      <c r="A7" t="inlineStr"/>
    </row>
    <row r="8">
      <c r="A8" t="inlineStr">
        <is>
          <t>Suggested Tasks:</t>
        </is>
      </c>
    </row>
    <row r="9">
      <c r="A9" t="inlineStr">
        <is>
          <t>1. Create Pivot Tables</t>
        </is>
      </c>
    </row>
    <row r="10">
      <c r="A10" t="inlineStr">
        <is>
          <t>2. Filter claims by region</t>
        </is>
      </c>
    </row>
    <row r="11">
      <c r="A11" t="inlineStr">
        <is>
          <t>3. Analyze denied claims</t>
        </is>
      </c>
    </row>
    <row r="12">
      <c r="A12" t="inlineStr">
        <is>
          <t>4. Add conditional formatting</t>
        </is>
      </c>
    </row>
    <row r="13">
      <c r="A13" t="inlineStr">
        <is>
          <t>5. Create additional 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2026-05-07T20:20:22Z</dcterms:created>
  <dcterms:modified xmlns:dcterms="http://purl.org/dc/terms/" xmlns:xsi="http://www.w3.org/2001/XMLSchema-instance" xsi:type="dcterms:W3CDTF">2026-05-07T20:20:22Z</dcterms:modified>
</cp:coreProperties>
</file>